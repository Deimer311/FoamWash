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YUDA -" sheetId="1" r:id="rId4"/>
    <sheet state="visible" name="Precios " sheetId="2" r:id="rId5"/>
    <sheet state="visible" name="Precios  (2)" sheetId="3" r:id="rId6"/>
    <sheet state="hidden" name="Soporte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oT7zdazfvtDHyn4vd/bJuQQ3HtD/Hdc30K7q1g6kegk="/>
    </ext>
  </extLst>
</workbook>
</file>

<file path=xl/sharedStrings.xml><?xml version="1.0" encoding="utf-8"?>
<sst xmlns="http://schemas.openxmlformats.org/spreadsheetml/2006/main" count="93" uniqueCount="62">
  <si>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</si>
  <si>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</si>
  <si>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</si>
  <si>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</si>
  <si>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</si>
  <si>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</si>
  <si>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Mercado Libre</t>
  </si>
  <si>
    <t>speedlogic</t>
  </si>
  <si>
    <t>pcware</t>
  </si>
  <si>
    <t>amazon</t>
  </si>
  <si>
    <t>clones y perifericos</t>
  </si>
  <si>
    <t>pcstorecolombia</t>
  </si>
  <si>
    <t>PRECIO MÁS BAJO</t>
  </si>
  <si>
    <t>PRECIO PROMEDIO</t>
  </si>
  <si>
    <t>PRECIO MÁS ALTO</t>
  </si>
  <si>
    <t>memoria ram 8Gb</t>
  </si>
  <si>
    <t>gabinete</t>
  </si>
  <si>
    <t>placa base</t>
  </si>
  <si>
    <t>procesador</t>
  </si>
  <si>
    <t>memoria ssd de 500gb</t>
  </si>
  <si>
    <t xml:space="preserve">fuente de poder </t>
  </si>
  <si>
    <t>monitor</t>
  </si>
  <si>
    <t>teclado</t>
  </si>
  <si>
    <t>mause</t>
  </si>
  <si>
    <t>sistema de refrigeración para pc</t>
  </si>
  <si>
    <t>Total</t>
  </si>
  <si>
    <t>DATOS ADICIONALES</t>
  </si>
  <si>
    <t xml:space="preserve">amazon </t>
  </si>
  <si>
    <t>TIEMPO DE ENTREGA (DÍAS)</t>
  </si>
  <si>
    <t>Horas de dia los 7 dias de la semana</t>
  </si>
  <si>
    <t>de 3 a 5 minutos</t>
  </si>
  <si>
    <t>3 a 10 dias habiles</t>
  </si>
  <si>
    <t>entrega de 2  dias habiles</t>
  </si>
  <si>
    <t>1 a 5 dias habiles</t>
  </si>
  <si>
    <t>5 dias laborales</t>
  </si>
  <si>
    <t>COSTO DE ENVÍO</t>
  </si>
  <si>
    <t>$ 7.055</t>
  </si>
  <si>
    <t>$295.39</t>
  </si>
  <si>
    <t>FORMAS DE PAGO</t>
  </si>
  <si>
    <t>contado</t>
  </si>
  <si>
    <t>PROVEEDOR 1</t>
  </si>
  <si>
    <t>PROVEEDOR 2</t>
  </si>
  <si>
    <t>PROVEEDOR 3</t>
  </si>
  <si>
    <t>PROVEEDOR 4</t>
  </si>
  <si>
    <t>PROVEEDOR 5</t>
  </si>
  <si>
    <t>PROVEEDOR 6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</si>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</sst>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&quot;$&quot;\ #,##0.00;[Red]\-&quot;$&quot;\ #,##0.00"/>
  </numFmts>
  <fonts count="21">
    <font>
      <sz val="8.0"/>
      <color theme="1"/>
      <name val="Arial"/>
      <scheme val="minor"/>
    </font>
    <font>
      <sz val="12.0"/>
      <color theme="1"/>
      <name val="Calibri"/>
    </font>
    <font>
      <sz val="8.0"/>
      <color theme="1"/>
      <name val="Arial"/>
    </font>
    <font>
      <b/>
      <sz val="22.0"/>
      <color rgb="FF3F3F3F"/>
      <name val="Calibri"/>
    </font>
    <font>
      <sz val="10.0"/>
      <color theme="1"/>
      <name val="Calibri"/>
    </font>
    <font>
      <sz val="16.0"/>
      <color rgb="FF7F7F7F"/>
      <name val="Calibri"/>
    </font>
    <font>
      <sz val="20.0"/>
      <color theme="1"/>
      <name val="Calibri"/>
    </font>
    <font>
      <b/>
      <sz val="14.0"/>
      <color theme="0"/>
      <name val="Calibri"/>
    </font>
    <font/>
    <font>
      <b/>
      <sz val="14.0"/>
      <color rgb="FF8745EC"/>
      <name val="Calibri"/>
    </font>
    <font>
      <b/>
      <sz val="14.0"/>
      <color rgb="FFFFFFFF"/>
      <name val="Calibri"/>
    </font>
    <font>
      <sz val="14.0"/>
      <color rgb="FF595959"/>
      <name val="Calibri"/>
    </font>
    <font>
      <b/>
      <sz val="14.0"/>
      <color rgb="FF595959"/>
      <name val="Calibri"/>
    </font>
    <font>
      <b/>
      <sz val="14.0"/>
      <color rgb="FF7F7F7F"/>
      <name val="Calibri"/>
    </font>
    <font>
      <sz val="14.0"/>
      <color theme="1"/>
      <name val="Calibri"/>
    </font>
    <font>
      <sz val="10.0"/>
      <color rgb="FFFF0000"/>
      <name val="Calibri"/>
    </font>
    <font>
      <sz val="8.0"/>
      <color rgb="FF595959"/>
      <name val="Calibri"/>
    </font>
    <font>
      <sz val="11.0"/>
      <color rgb="FF4D5156"/>
      <name val="Arial"/>
    </font>
    <font>
      <sz val="18.0"/>
      <color rgb="FF000000"/>
      <name val="Proxima Nova"/>
    </font>
    <font>
      <sz val="11.0"/>
      <color rgb="FF000000"/>
      <name val="Arial"/>
    </font>
    <font>
      <sz val="13.0"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9">
    <border/>
    <border>
      <left/>
      <right/>
      <top/>
      <bottom/>
    </border>
    <border>
      <left/>
      <right/>
      <top/>
      <bottom style="thin">
        <color theme="0"/>
      </bottom>
    </border>
    <border>
      <left style="medium">
        <color rgb="FF8745EC"/>
      </left>
      <top style="medium">
        <color rgb="FF8745EC"/>
      </top>
      <bottom style="thin">
        <color theme="0"/>
      </bottom>
    </border>
    <border>
      <top style="medium">
        <color rgb="FF8745EC"/>
      </top>
      <bottom style="thin">
        <color theme="0"/>
      </bottom>
    </border>
    <border>
      <right style="medium">
        <color rgb="FF8745EC"/>
      </right>
      <top style="medium">
        <color rgb="FF8745EC"/>
      </top>
      <bottom style="thin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</border>
    <border>
      <left/>
      <right/>
      <top/>
      <bottom style="medium">
        <color rgb="FFF2F2F2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bottom style="medium">
        <color rgb="FFF2F2F2"/>
      </bottom>
    </border>
    <border>
      <left style="medium">
        <color rgb="FF8745EC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medium">
        <color rgb="FF8745EC"/>
      </right>
      <top style="thin">
        <color theme="0"/>
      </top>
      <bottom/>
    </border>
    <border>
      <top style="dotted">
        <color rgb="FFF2F2F2"/>
      </top>
      <bottom style="medium">
        <color rgb="FFF2F2F2"/>
      </bottom>
    </border>
    <border>
      <left style="medium">
        <color rgb="FF8745EC"/>
      </left>
      <top/>
      <bottom/>
    </border>
    <border>
      <right style="medium">
        <color theme="0"/>
      </right>
      <top/>
      <bottom/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right/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5A5A5"/>
      </right>
      <bottom style="thin">
        <color rgb="FF7F7F7F"/>
      </bottom>
    </border>
    <border>
      <left style="thin">
        <color rgb="FFA5A5A5"/>
      </left>
      <right style="thin">
        <color rgb="FFA5A5A5"/>
      </right>
      <bottom style="thin">
        <color rgb="FF7F7F7F"/>
      </bottom>
    </border>
    <border>
      <left style="thin">
        <color theme="0"/>
      </left>
      <top style="thin">
        <color theme="0"/>
      </top>
    </border>
    <border>
      <right/>
      <top style="thin">
        <color theme="0"/>
      </top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theme="0"/>
      </left>
    </border>
    <border>
      <right/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</border>
    <border>
      <left style="thin">
        <color theme="0"/>
      </left>
      <bottom style="thin">
        <color theme="0"/>
      </bottom>
    </border>
    <border>
      <right/>
      <bottom style="thin">
        <color theme="0"/>
      </bottom>
    </border>
    <border>
      <right style="thin">
        <color rgb="FFA5A5A5"/>
      </right>
      <top style="dotted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</border>
    <border>
      <right style="thin">
        <color rgb="FFFFFF66"/>
      </right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</border>
    <border>
      <left style="thin">
        <color rgb="FFFFFF66"/>
      </left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top/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1" fillId="3" fontId="4" numFmtId="0" xfId="0" applyBorder="1" applyFill="1" applyFont="1"/>
    <xf borderId="0" fillId="0" fontId="4" numFmtId="0" xfId="0" applyFont="1"/>
    <xf borderId="2" fillId="2" fontId="2" numFmtId="0" xfId="0" applyBorder="1" applyFont="1"/>
    <xf borderId="0" fillId="0" fontId="5" numFmtId="0" xfId="0" applyAlignment="1" applyFont="1">
      <alignment vertical="top"/>
    </xf>
    <xf borderId="1" fillId="3" fontId="6" numFmtId="0" xfId="0" applyAlignment="1" applyBorder="1" applyFont="1">
      <alignment vertical="center"/>
    </xf>
    <xf borderId="3" fillId="2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3" fontId="1" numFmtId="0" xfId="0" applyAlignment="1" applyBorder="1" applyFont="1">
      <alignment horizontal="center"/>
    </xf>
    <xf borderId="6" fillId="4" fontId="9" numFmtId="0" xfId="0" applyAlignment="1" applyBorder="1" applyFill="1" applyFont="1">
      <alignment horizontal="center" shrinkToFit="0" vertical="center" wrapText="1"/>
    </xf>
    <xf borderId="6" fillId="4" fontId="9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8" fillId="2" fontId="10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" fillId="3" fontId="1" numFmtId="0" xfId="0" applyBorder="1" applyFont="1"/>
    <xf borderId="10" fillId="3" fontId="11" numFmtId="164" xfId="0" applyAlignment="1" applyBorder="1" applyFont="1" applyNumberFormat="1">
      <alignment horizontal="center" readingOrder="0" shrinkToFit="0" vertical="center" wrapText="1"/>
    </xf>
    <xf borderId="10" fillId="4" fontId="11" numFmtId="2" xfId="0" applyAlignment="1" applyBorder="1" applyFont="1" applyNumberFormat="1">
      <alignment horizontal="center" readingOrder="0" vertical="center"/>
    </xf>
    <xf borderId="10" fillId="3" fontId="11" numFmtId="164" xfId="0" applyAlignment="1" applyBorder="1" applyFont="1" applyNumberFormat="1">
      <alignment horizontal="center" readingOrder="0" vertical="center"/>
    </xf>
    <xf borderId="10" fillId="4" fontId="11" numFmtId="164" xfId="0" applyAlignment="1" applyBorder="1" applyFont="1" applyNumberFormat="1">
      <alignment horizontal="center" readingOrder="0" vertical="center"/>
    </xf>
    <xf borderId="1" fillId="4" fontId="12" numFmtId="164" xfId="0" applyAlignment="1" applyBorder="1" applyFont="1" applyNumberFormat="1">
      <alignment horizontal="center" readingOrder="0" vertical="center"/>
    </xf>
    <xf borderId="11" fillId="5" fontId="13" numFmtId="164" xfId="0" applyAlignment="1" applyBorder="1" applyFill="1" applyFont="1" applyNumberFormat="1">
      <alignment horizontal="center"/>
    </xf>
    <xf borderId="8" fillId="5" fontId="13" numFmtId="164" xfId="0" applyAlignment="1" applyBorder="1" applyFont="1" applyNumberFormat="1">
      <alignment horizontal="center"/>
    </xf>
    <xf borderId="9" fillId="5" fontId="13" numFmtId="164" xfId="0" applyAlignment="1" applyBorder="1" applyFont="1" applyNumberFormat="1">
      <alignment horizontal="center"/>
    </xf>
    <xf borderId="0" fillId="0" fontId="14" numFmtId="164" xfId="0" applyAlignment="1" applyFont="1" applyNumberFormat="1">
      <alignment horizontal="center" readingOrder="0"/>
    </xf>
    <xf borderId="12" fillId="0" fontId="11" numFmtId="2" xfId="0" applyAlignment="1" applyBorder="1" applyFont="1" applyNumberFormat="1">
      <alignment horizontal="center" readingOrder="0" vertical="center"/>
    </xf>
    <xf borderId="12" fillId="0" fontId="11" numFmtId="164" xfId="0" applyAlignment="1" applyBorder="1" applyFont="1" applyNumberFormat="1">
      <alignment horizontal="center" readingOrder="0" vertical="center"/>
    </xf>
    <xf borderId="7" fillId="5" fontId="13" numFmtId="164" xfId="0" applyAlignment="1" applyBorder="1" applyFont="1" applyNumberFormat="1">
      <alignment horizontal="center"/>
    </xf>
    <xf borderId="12" fillId="0" fontId="11" numFmtId="164" xfId="0" applyAlignment="1" applyBorder="1" applyFont="1" applyNumberFormat="1">
      <alignment horizontal="center" readingOrder="0" shrinkToFit="0" vertical="center" wrapText="1"/>
    </xf>
    <xf borderId="12" fillId="0" fontId="11" numFmtId="2" xfId="0" applyAlignment="1" applyBorder="1" applyFont="1" applyNumberFormat="1">
      <alignment horizontal="center" vertical="center"/>
    </xf>
    <xf borderId="0" fillId="0" fontId="15" numFmtId="0" xfId="0" applyFont="1"/>
    <xf borderId="13" fillId="5" fontId="13" numFmtId="164" xfId="0" applyAlignment="1" applyBorder="1" applyFont="1" applyNumberFormat="1">
      <alignment horizontal="center"/>
    </xf>
    <xf borderId="14" fillId="5" fontId="13" numFmtId="164" xfId="0" applyAlignment="1" applyBorder="1" applyFont="1" applyNumberFormat="1">
      <alignment horizontal="center"/>
    </xf>
    <xf borderId="15" fillId="5" fontId="13" numFmtId="164" xfId="0" applyAlignment="1" applyBorder="1" applyFont="1" applyNumberFormat="1">
      <alignment horizontal="center"/>
    </xf>
    <xf borderId="16" fillId="0" fontId="11" numFmtId="164" xfId="0" applyAlignment="1" applyBorder="1" applyFont="1" applyNumberFormat="1">
      <alignment horizontal="center" readingOrder="0" shrinkToFit="0" vertical="center" wrapText="1"/>
    </xf>
    <xf borderId="16" fillId="0" fontId="11" numFmtId="2" xfId="0" applyAlignment="1" applyBorder="1" applyFont="1" applyNumberFormat="1">
      <alignment horizontal="center" vertical="center"/>
    </xf>
    <xf borderId="16" fillId="0" fontId="11" numFmtId="164" xfId="0" applyAlignment="1" applyBorder="1" applyFont="1" applyNumberFormat="1">
      <alignment horizontal="center" readingOrder="0" vertical="center"/>
    </xf>
    <xf borderId="10" fillId="3" fontId="11" numFmtId="164" xfId="0" applyAlignment="1" applyBorder="1" applyFont="1" applyNumberFormat="1">
      <alignment horizontal="center" vertical="center"/>
    </xf>
    <xf borderId="10" fillId="3" fontId="11" numFmtId="2" xfId="0" applyAlignment="1" applyBorder="1" applyFont="1" applyNumberFormat="1">
      <alignment horizontal="center" vertical="center"/>
    </xf>
    <xf borderId="1" fillId="3" fontId="11" numFmtId="164" xfId="0" applyAlignment="1" applyBorder="1" applyFont="1" applyNumberFormat="1">
      <alignment horizontal="center" vertical="center"/>
    </xf>
    <xf borderId="1" fillId="3" fontId="11" numFmtId="164" xfId="0" applyAlignment="1" applyBorder="1" applyFont="1" applyNumberFormat="1">
      <alignment horizontal="center"/>
    </xf>
    <xf borderId="1" fillId="5" fontId="12" numFmtId="0" xfId="0" applyAlignment="1" applyBorder="1" applyFont="1">
      <alignment horizontal="center" vertical="center"/>
    </xf>
    <xf borderId="10" fillId="5" fontId="12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/>
    </xf>
    <xf borderId="0" fillId="0" fontId="13" numFmtId="164" xfId="0" applyAlignment="1" applyFont="1" applyNumberFormat="1">
      <alignment horizontal="center"/>
    </xf>
    <xf borderId="17" fillId="2" fontId="7" numFmtId="0" xfId="0" applyAlignment="1" applyBorder="1" applyFont="1">
      <alignment horizontal="center" shrinkToFit="0" vertical="center" wrapText="1"/>
    </xf>
    <xf borderId="18" fillId="0" fontId="8" numFmtId="0" xfId="0" applyBorder="1" applyFont="1"/>
    <xf borderId="19" fillId="0" fontId="9" numFmtId="0" xfId="0" applyAlignment="1" applyBorder="1" applyFont="1">
      <alignment horizontal="center" readingOrder="0" shrinkToFit="0" vertical="center" wrapText="1"/>
    </xf>
    <xf borderId="20" fillId="4" fontId="9" numFmtId="0" xfId="0" applyAlignment="1" applyBorder="1" applyFont="1">
      <alignment horizontal="center" shrinkToFit="0" vertical="center" wrapText="1"/>
    </xf>
    <xf borderId="21" fillId="0" fontId="8" numFmtId="0" xfId="0" applyBorder="1" applyFont="1"/>
    <xf borderId="22" fillId="0" fontId="16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 vertical="center"/>
    </xf>
    <xf borderId="26" fillId="0" fontId="11" numFmtId="164" xfId="0" applyAlignment="1" applyBorder="1" applyFont="1" applyNumberFormat="1">
      <alignment horizontal="center" vertical="center"/>
    </xf>
    <xf borderId="0" fillId="0" fontId="17" numFmtId="0" xfId="0" applyFont="1"/>
    <xf borderId="25" fillId="0" fontId="11" numFmtId="164" xfId="0" applyAlignment="1" applyBorder="1" applyFont="1" applyNumberFormat="1">
      <alignment horizontal="center" readingOrder="0" vertical="center"/>
    </xf>
    <xf borderId="27" fillId="0" fontId="11" numFmtId="0" xfId="0" applyAlignment="1" applyBorder="1" applyFont="1">
      <alignment horizontal="center" vertical="center"/>
    </xf>
    <xf borderId="25" fillId="0" fontId="11" numFmtId="164" xfId="0" applyAlignment="1" applyBorder="1" applyFont="1" applyNumberFormat="1">
      <alignment horizontal="center" vertical="center"/>
    </xf>
    <xf borderId="28" fillId="4" fontId="9" numFmtId="0" xfId="0" applyAlignment="1" applyBorder="1" applyFont="1">
      <alignment horizontal="center" shrinkToFit="0" vertical="center" wrapText="1"/>
    </xf>
    <xf borderId="29" fillId="0" fontId="8" numFmtId="0" xfId="0" applyBorder="1" applyFont="1"/>
    <xf borderId="30" fillId="0" fontId="11" numFmtId="164" xfId="0" applyAlignment="1" applyBorder="1" applyFont="1" applyNumberFormat="1">
      <alignment horizontal="center" vertical="center"/>
    </xf>
    <xf borderId="31" fillId="0" fontId="11" numFmtId="164" xfId="0" applyAlignment="1" applyBorder="1" applyFont="1" applyNumberFormat="1">
      <alignment horizontal="center" vertical="center"/>
    </xf>
    <xf borderId="32" fillId="0" fontId="8" numFmtId="0" xfId="0" applyBorder="1" applyFont="1"/>
    <xf borderId="33" fillId="0" fontId="8" numFmtId="0" xfId="0" applyBorder="1" applyFont="1"/>
    <xf borderId="34" fillId="0" fontId="11" numFmtId="0" xfId="0" applyAlignment="1" applyBorder="1" applyFont="1">
      <alignment horizontal="center" vertical="center"/>
    </xf>
    <xf borderId="35" fillId="0" fontId="12" numFmtId="4" xfId="0" applyAlignment="1" applyBorder="1" applyFont="1" applyNumberFormat="1">
      <alignment horizontal="center" vertical="center"/>
    </xf>
    <xf borderId="34" fillId="0" fontId="12" numFmtId="4" xfId="0" applyAlignment="1" applyBorder="1" applyFont="1" applyNumberFormat="1">
      <alignment horizontal="center" vertical="center"/>
    </xf>
    <xf borderId="36" fillId="0" fontId="8" numFmtId="0" xfId="0" applyBorder="1" applyFont="1"/>
    <xf borderId="37" fillId="0" fontId="8" numFmtId="0" xfId="0" applyBorder="1" applyFont="1"/>
    <xf borderId="22" fillId="0" fontId="18" numFmtId="0" xfId="0" applyAlignment="1" applyBorder="1" applyFont="1">
      <alignment shrinkToFit="0" wrapText="1"/>
    </xf>
    <xf borderId="38" fillId="0" fontId="11" numFmtId="0" xfId="0" applyAlignment="1" applyBorder="1" applyFont="1">
      <alignment horizontal="center" vertical="center"/>
    </xf>
    <xf borderId="39" fillId="0" fontId="11" numFmtId="0" xfId="0" applyAlignment="1" applyBorder="1" applyFont="1">
      <alignment horizontal="center" vertical="center"/>
    </xf>
    <xf borderId="0" fillId="0" fontId="19" numFmtId="165" xfId="0" applyAlignment="1" applyFont="1" applyNumberFormat="1">
      <alignment shrinkToFit="0" vertical="center" wrapText="1"/>
    </xf>
    <xf borderId="40" fillId="0" fontId="19" numFmtId="165" xfId="0" applyAlignment="1" applyBorder="1" applyFont="1" applyNumberFormat="1">
      <alignment shrinkToFit="0" vertical="center" wrapText="1"/>
    </xf>
    <xf borderId="41" fillId="0" fontId="20" numFmtId="165" xfId="0" applyAlignment="1" applyBorder="1" applyFont="1" applyNumberFormat="1">
      <alignment shrinkToFit="0" vertical="center" wrapText="1"/>
    </xf>
    <xf borderId="42" fillId="0" fontId="19" numFmtId="165" xfId="0" applyAlignment="1" applyBorder="1" applyFont="1" applyNumberFormat="1">
      <alignment shrinkToFit="0" vertical="center" wrapText="1"/>
    </xf>
    <xf borderId="43" fillId="0" fontId="20" numFmtId="165" xfId="0" applyAlignment="1" applyBorder="1" applyFont="1" applyNumberFormat="1">
      <alignment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12" fillId="0" fontId="11" numFmtId="164" xfId="0" applyAlignment="1" applyBorder="1" applyFont="1" applyNumberFormat="1">
      <alignment horizontal="center" shrinkToFit="0" vertical="center" wrapText="1"/>
    </xf>
    <xf borderId="12" fillId="0" fontId="11" numFmtId="164" xfId="0" applyAlignment="1" applyBorder="1" applyFont="1" applyNumberFormat="1">
      <alignment horizontal="center" vertical="center"/>
    </xf>
    <xf borderId="16" fillId="0" fontId="11" numFmtId="164" xfId="0" applyAlignment="1" applyBorder="1" applyFont="1" applyNumberFormat="1">
      <alignment horizontal="center" shrinkToFit="0" vertical="center" wrapText="1"/>
    </xf>
    <xf borderId="16" fillId="0" fontId="11" numFmtId="164" xfId="0" applyAlignment="1" applyBorder="1" applyFont="1" applyNumberFormat="1">
      <alignment horizontal="center" vertical="center"/>
    </xf>
    <xf borderId="10" fillId="3" fontId="11" numFmtId="164" xfId="0" applyAlignment="1" applyBorder="1" applyFont="1" applyNumberFormat="1">
      <alignment horizontal="center" shrinkToFit="0" vertical="center" wrapText="1"/>
    </xf>
    <xf borderId="19" fillId="0" fontId="9" numFmtId="0" xfId="0" applyAlignment="1" applyBorder="1" applyFont="1">
      <alignment horizontal="left" shrinkToFit="0" vertical="center" wrapText="1"/>
    </xf>
    <xf borderId="44" fillId="0" fontId="11" numFmtId="0" xfId="0" applyAlignment="1" applyBorder="1" applyFont="1">
      <alignment horizontal="center" vertical="center"/>
    </xf>
    <xf borderId="44" fillId="0" fontId="11" numFmtId="164" xfId="0" applyAlignment="1" applyBorder="1" applyFont="1" applyNumberFormat="1">
      <alignment horizontal="center" vertical="center"/>
    </xf>
    <xf borderId="45" fillId="0" fontId="11" numFmtId="0" xfId="0" applyAlignment="1" applyBorder="1" applyFont="1">
      <alignment horizontal="center" vertical="center"/>
    </xf>
    <xf borderId="45" fillId="0" fontId="12" numFmtId="4" xfId="0" applyAlignment="1" applyBorder="1" applyFont="1" applyNumberFormat="1">
      <alignment horizontal="center" vertical="center"/>
    </xf>
    <xf borderId="46" fillId="0" fontId="11" numFmtId="0" xfId="0" applyAlignment="1" applyBorder="1" applyFont="1">
      <alignment horizontal="center" vertical="center"/>
    </xf>
    <xf borderId="16" fillId="0" fontId="11" numFmtId="164" xfId="0" applyAlignment="1" applyBorder="1" applyFont="1" applyNumberFormat="1">
      <alignment horizontal="center" vertical="center"/>
    </xf>
    <xf borderId="16" fillId="0" fontId="11" numFmtId="2" xfId="0" applyAlignment="1" applyBorder="1" applyFont="1" applyNumberFormat="1">
      <alignment horizontal="center" vertical="center"/>
    </xf>
    <xf borderId="0" fillId="0" fontId="19" numFmtId="0" xfId="0" applyFont="1"/>
    <xf borderId="47" fillId="6" fontId="20" numFmtId="165" xfId="0" applyAlignment="1" applyBorder="1" applyFill="1" applyFont="1" applyNumberFormat="1">
      <alignment shrinkToFit="0" vertical="center" wrapText="1"/>
    </xf>
    <xf borderId="48" fillId="6" fontId="20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ont/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ont/>
      <fill>
        <patternFill patternType="none"/>
      </fill>
      <border/>
    </dxf>
    <dxf>
      <font/>
      <fill>
        <patternFill patternType="solid">
          <fgColor rgb="FFF8F3FF"/>
          <bgColor rgb="FFF8F3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2">
    <tableStyle count="4" pivot="0" name="Precios -style">
      <tableStyleElement dxfId="3" type="headerRow"/>
      <tableStyleElement dxfId="2" type="firstRowStripe"/>
      <tableStyleElement dxfId="2" type="secondRowStripe"/>
      <tableStyleElement dxfId="4" type="totalRow"/>
    </tableStyle>
    <tableStyle count="4" pivot="0" name="Precios  (2)-style">
      <tableStyleElement dxfId="3" type="headerRow"/>
      <tableStyleElement dxfId="2" type="firstRowStripe"/>
      <tableStyleElement dxfId="2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4</xdr:row>
      <xdr:rowOff>142875</xdr:rowOff>
    </xdr:from>
    <xdr:ext cx="8058150" cy="6124575"/>
    <xdr:sp>
      <xdr:nvSpPr>
        <xdr:cNvPr id="3" name="Shape 3"/>
        <xdr:cNvSpPr txBox="1"/>
      </xdr:nvSpPr>
      <xdr:spPr>
        <a:xfrm>
          <a:off x="1316925" y="722475"/>
          <a:ext cx="8058150" cy="61150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comparación de precios entre proveedores le permitirá saber que proveedor le da el mejor precio para cada producto que quiera comprar.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76200</xdr:colOff>
      <xdr:row>0</xdr:row>
      <xdr:rowOff>104775</xdr:rowOff>
    </xdr:from>
    <xdr:ext cx="6657975" cy="752475"/>
    <xdr:sp>
      <xdr:nvSpPr>
        <xdr:cNvPr id="4" name="Shape 4"/>
        <xdr:cNvSpPr txBox="1"/>
      </xdr:nvSpPr>
      <xdr:spPr>
        <a:xfrm>
          <a:off x="2021775" y="3408525"/>
          <a:ext cx="6648450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419100</xdr:colOff>
      <xdr:row>0</xdr:row>
      <xdr:rowOff>104775</xdr:rowOff>
    </xdr:from>
    <xdr:ext cx="2009775" cy="752475"/>
    <xdr:sp>
      <xdr:nvSpPr>
        <xdr:cNvPr id="5" name="Shape 5"/>
        <xdr:cNvSpPr txBox="1"/>
      </xdr:nvSpPr>
      <xdr:spPr>
        <a:xfrm>
          <a:off x="4345875" y="3408525"/>
          <a:ext cx="2000250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67625" cy="742950"/>
    <xdr:sp>
      <xdr:nvSpPr>
        <xdr:cNvPr id="6" name="Shape 6"/>
        <xdr:cNvSpPr txBox="1"/>
      </xdr:nvSpPr>
      <xdr:spPr>
        <a:xfrm>
          <a:off x="1516950" y="3413288"/>
          <a:ext cx="7658100" cy="7334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</a:t>
          </a: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1104900</xdr:colOff>
      <xdr:row>1</xdr:row>
      <xdr:rowOff>142875</xdr:rowOff>
    </xdr:from>
    <xdr:ext cx="3000375" cy="466725"/>
    <xdr:sp>
      <xdr:nvSpPr>
        <xdr:cNvPr id="7" name="Shape 7"/>
        <xdr:cNvSpPr txBox="1"/>
      </xdr:nvSpPr>
      <xdr:spPr>
        <a:xfrm>
          <a:off x="3850575" y="3551400"/>
          <a:ext cx="2990850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77150" cy="742950"/>
    <xdr:sp>
      <xdr:nvSpPr>
        <xdr:cNvPr id="8" name="Shape 8"/>
        <xdr:cNvSpPr txBox="1"/>
      </xdr:nvSpPr>
      <xdr:spPr>
        <a:xfrm>
          <a:off x="1512188" y="3413288"/>
          <a:ext cx="7667625" cy="7334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</a:t>
          </a: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142875</xdr:rowOff>
    </xdr:from>
    <xdr:ext cx="3000375" cy="466725"/>
    <xdr:sp>
      <xdr:nvSpPr>
        <xdr:cNvPr id="9" name="Shape 9"/>
        <xdr:cNvSpPr txBox="1"/>
      </xdr:nvSpPr>
      <xdr:spPr>
        <a:xfrm>
          <a:off x="3850575" y="3551400"/>
          <a:ext cx="2990850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uadro-de-Cotizacion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rre admin"/>
      <sheetName val="Monitor Admin"/>
      <sheetName val="DiscoSolido Admin"/>
      <sheetName val="Disco duro interno Admin"/>
      <sheetName val="Servidor Admin"/>
      <sheetName val="ram Admin"/>
      <sheetName val="Teclado Admin"/>
      <sheetName val="Mause Admin"/>
      <sheetName val="Portatil Nosotros"/>
      <sheetName val="Monitor Nosotros"/>
      <sheetName val=" Disco mecanico Nosotros"/>
      <sheetName val=" ram nosotros"/>
      <sheetName val=" Servidor Nosotros"/>
      <sheetName val="Tarjeta de video nosotros"/>
      <sheetName val="Procesador Nosotros"/>
      <sheetName val="Teclado nosostros "/>
      <sheetName val="Muse nosotros"/>
      <sheetName val="software licencia"/>
      <sheetName val="licencia visual"/>
      <sheetName val="windows 11 licencia"/>
      <sheetName val="licencia SQ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ref="B8:L26" displayName="Table_1" name="Table_1" id="1">
  <tableColumns count="11">
    <tableColumn name="PRODUCTO" id="1"/>
    <tableColumn name="CANTIDAD" id="2"/>
    <tableColumn name="Mercado Libre" id="3"/>
    <tableColumn name="speedlogic" id="4"/>
    <tableColumn name="pcware" id="5"/>
    <tableColumn name="amazon" id="6"/>
    <tableColumn name="clones y perifericos" id="7"/>
    <tableColumn name="pcstorecolombia" id="8"/>
    <tableColumn name="PRECIO MÁS BAJO" id="9"/>
    <tableColumn name="PRECIO PROMEDIO" id="10"/>
    <tableColumn name="PRECIO MÁS ALTO" id="11"/>
  </tableColumns>
  <tableStyleInfo name="Precios -style" showColumnStripes="0" showFirstColumn="1" showLastColumn="1" showRowStripes="1"/>
</table>
</file>

<file path=xl/tables/table2.xml><?xml version="1.0" encoding="utf-8"?>
<table xmlns="http://schemas.openxmlformats.org/spreadsheetml/2006/main" ref="B8:L25" displayName="Table_2" name="Table_2" id="2">
  <tableColumns count="11">
    <tableColumn name="PRODUCTO" id="1"/>
    <tableColumn name="CANTIDAD" id="2"/>
    <tableColumn name="PROVEEDOR 1" id="3"/>
    <tableColumn name="PROVEEDOR 2" id="4"/>
    <tableColumn name="PROVEEDOR 3" id="5"/>
    <tableColumn name="PROVEEDOR 4" id="6"/>
    <tableColumn name="PROVEEDOR 5" id="7"/>
    <tableColumn name="PROVEEDOR 6" id="8"/>
    <tableColumn name="PRECIO MÁS BAJO" id="9"/>
    <tableColumn name="PRECIO PROMEDIO" id="10"/>
    <tableColumn name="PRECIO MÁS ALTO" id="11"/>
  </tableColumns>
  <tableStyleInfo name="Precios 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67"/>
    <col customWidth="1" min="2" max="11" width="22.17"/>
    <col customWidth="1" min="12" max="26" width="12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7.5"/>
    <col customWidth="1" min="5" max="5" width="23.17"/>
    <col customWidth="1" min="6" max="6" width="25.17"/>
    <col customWidth="1" min="7" max="7" width="32.5"/>
    <col customWidth="1" min="8" max="8" width="22.17"/>
    <col customWidth="1" min="9" max="9" width="27.5"/>
    <col customWidth="1" min="10" max="10" width="27.17"/>
    <col customWidth="1" min="11" max="11" width="23.5"/>
    <col customWidth="1" min="12" max="12" width="24.67"/>
    <col customWidth="1" min="13" max="13" width="20.5"/>
    <col customWidth="1" min="14" max="14" width="20.67"/>
    <col customWidth="1" min="15" max="26" width="9.17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5" t="s">
        <v>6</v>
      </c>
      <c r="E8" s="15" t="s">
        <v>7</v>
      </c>
      <c r="F8" s="15" t="s">
        <v>8</v>
      </c>
      <c r="G8" s="15" t="s">
        <v>9</v>
      </c>
      <c r="H8" s="15" t="s">
        <v>10</v>
      </c>
      <c r="I8" s="15" t="s">
        <v>11</v>
      </c>
      <c r="J8" s="16" t="s">
        <v>12</v>
      </c>
      <c r="K8" s="17" t="s">
        <v>13</v>
      </c>
      <c r="L8" s="18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3.5" customHeight="1">
      <c r="A9" s="19"/>
      <c r="B9" s="20" t="s">
        <v>15</v>
      </c>
      <c r="C9" s="21">
        <v>2.0</v>
      </c>
      <c r="D9" s="22">
        <v>77000.0</v>
      </c>
      <c r="E9" s="23">
        <v>103000.0</v>
      </c>
      <c r="F9" s="23">
        <v>149900.0</v>
      </c>
      <c r="G9" s="23">
        <v>40000.0</v>
      </c>
      <c r="H9" s="23">
        <v>80000.0</v>
      </c>
      <c r="I9" s="24">
        <v>115000.0</v>
      </c>
      <c r="J9" s="25">
        <f>MIN('Precios '!$D9:$I9)</f>
        <v>40000</v>
      </c>
      <c r="K9" s="26">
        <f>IFERROR(AVERAGE('Precios '!$D9:$I9),0)</f>
        <v>94150</v>
      </c>
      <c r="L9" s="27">
        <f>MAX('Precios '!$D9:$I9)</f>
        <v>149900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3.5" customHeight="1">
      <c r="A10" s="19"/>
      <c r="B10" s="28" t="s">
        <v>16</v>
      </c>
      <c r="C10" s="29">
        <v>1.0</v>
      </c>
      <c r="D10" s="30">
        <v>190000.0</v>
      </c>
      <c r="E10" s="30">
        <v>301000.0</v>
      </c>
      <c r="F10" s="30">
        <v>115000.0</v>
      </c>
      <c r="G10" s="30">
        <v>284000.0</v>
      </c>
      <c r="H10" s="30">
        <v>500000.0</v>
      </c>
      <c r="I10" s="30">
        <v>480000.0</v>
      </c>
      <c r="J10" s="31">
        <f>MIN('Precios '!$D10:$I10)</f>
        <v>115000</v>
      </c>
      <c r="K10" s="26">
        <f>IFERROR(AVERAGE('Precios '!$D10:$I10),0)</f>
        <v>311666.6667</v>
      </c>
      <c r="L10" s="27">
        <f>MAX('Precios '!$D10:$I10)</f>
        <v>500000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3.5" customHeight="1">
      <c r="A11" s="19"/>
      <c r="B11" s="32" t="s">
        <v>17</v>
      </c>
      <c r="C11" s="33">
        <v>1.0</v>
      </c>
      <c r="D11" s="30">
        <v>709000.0</v>
      </c>
      <c r="E11" s="30">
        <v>429000.0</v>
      </c>
      <c r="F11" s="30">
        <v>500000.0</v>
      </c>
      <c r="G11" s="30">
        <v>364000.0</v>
      </c>
      <c r="H11" s="30">
        <v>480000.0</v>
      </c>
      <c r="I11" s="30">
        <v>700000.0</v>
      </c>
      <c r="J11" s="31">
        <f>MIN('Precios '!$D11:$I11)</f>
        <v>364000</v>
      </c>
      <c r="K11" s="26">
        <f>IFERROR(AVERAGE('Precios '!$D11:$I11),0)</f>
        <v>530333.3333</v>
      </c>
      <c r="L11" s="27">
        <f>MAX('Precios '!$D11:$I11)</f>
        <v>709000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3.5" customHeight="1">
      <c r="A12" s="19"/>
      <c r="B12" s="32" t="s">
        <v>18</v>
      </c>
      <c r="C12" s="33">
        <v>1.0</v>
      </c>
      <c r="D12" s="30">
        <v>2500000.0</v>
      </c>
      <c r="E12" s="30">
        <v>2000000.0</v>
      </c>
      <c r="F12" s="30">
        <v>1200000.0</v>
      </c>
      <c r="G12" s="30">
        <v>689000.0</v>
      </c>
      <c r="H12" s="30">
        <v>856000.0</v>
      </c>
      <c r="I12" s="30">
        <v>700000.0</v>
      </c>
      <c r="J12" s="31">
        <f>MIN('Precios '!$D12:$I12)</f>
        <v>689000</v>
      </c>
      <c r="K12" s="26">
        <f>IFERROR(AVERAGE('Precios '!$D12:$I12),0)</f>
        <v>1324166.667</v>
      </c>
      <c r="L12" s="27">
        <f>MAX('Precios '!$D12:$I12)</f>
        <v>2500000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3.5" customHeight="1">
      <c r="A13" s="19"/>
      <c r="B13" s="32" t="s">
        <v>19</v>
      </c>
      <c r="C13" s="33">
        <v>1.0</v>
      </c>
      <c r="D13" s="30">
        <v>900000.0</v>
      </c>
      <c r="E13" s="30">
        <v>800000.0</v>
      </c>
      <c r="F13" s="30">
        <v>700000.0</v>
      </c>
      <c r="G13" s="30">
        <v>170000.0</v>
      </c>
      <c r="H13" s="30">
        <v>700000.0</v>
      </c>
      <c r="I13" s="30">
        <v>900000.0</v>
      </c>
      <c r="J13" s="31">
        <f>MIN('Precios '!$D13:$I13)</f>
        <v>170000</v>
      </c>
      <c r="K13" s="26">
        <f>IFERROR(AVERAGE('Precios '!$D13:$I13),0)</f>
        <v>695000</v>
      </c>
      <c r="L13" s="27">
        <f>MAX('Precios '!$D13:$I13)</f>
        <v>900000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3.5" customHeight="1">
      <c r="A14" s="19"/>
      <c r="B14" s="32" t="s">
        <v>20</v>
      </c>
      <c r="C14" s="33">
        <v>1.0</v>
      </c>
      <c r="D14" s="30">
        <v>1500000.0</v>
      </c>
      <c r="E14" s="30">
        <v>700000.0</v>
      </c>
      <c r="F14" s="30">
        <v>600000.0</v>
      </c>
      <c r="G14" s="30">
        <v>364000.0</v>
      </c>
      <c r="H14" s="30">
        <v>800000.0</v>
      </c>
      <c r="I14" s="30">
        <v>400000.0</v>
      </c>
      <c r="J14" s="31">
        <f>MIN('Precios '!$D14:$I14)</f>
        <v>364000</v>
      </c>
      <c r="K14" s="26">
        <f>IFERROR(AVERAGE('Precios '!$D14:$I14),0)</f>
        <v>727333.3333</v>
      </c>
      <c r="L14" s="27">
        <f>MAX('Precios '!$D14:$I14)</f>
        <v>1500000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3.5" customHeight="1">
      <c r="A15" s="34"/>
      <c r="B15" s="32" t="s">
        <v>21</v>
      </c>
      <c r="C15" s="33">
        <v>1.0</v>
      </c>
      <c r="D15" s="30">
        <v>1100000.0</v>
      </c>
      <c r="E15" s="30">
        <v>1000000.0</v>
      </c>
      <c r="F15" s="30">
        <v>670000.0</v>
      </c>
      <c r="G15" s="30">
        <v>440000.0</v>
      </c>
      <c r="H15" s="30">
        <v>800000.0</v>
      </c>
      <c r="I15" s="30">
        <v>1050000.0</v>
      </c>
      <c r="J15" s="35">
        <f>MIN('Precios '!$D15:$I15)</f>
        <v>440000</v>
      </c>
      <c r="K15" s="36">
        <f>IFERROR(AVERAGE('Precios '!$D15:$I15),0)</f>
        <v>843333.3333</v>
      </c>
      <c r="L15" s="37">
        <f>MAX('Precios '!$D15:$I15)</f>
        <v>1100000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3.5" customHeight="1">
      <c r="A16" s="34"/>
      <c r="B16" s="38" t="s">
        <v>22</v>
      </c>
      <c r="C16" s="39">
        <v>1.0</v>
      </c>
      <c r="D16" s="40">
        <v>500000.0</v>
      </c>
      <c r="E16" s="40">
        <v>450000.0</v>
      </c>
      <c r="F16" s="40">
        <v>300000.0</v>
      </c>
      <c r="G16" s="40">
        <v>250000.0</v>
      </c>
      <c r="H16" s="40">
        <v>200000.0</v>
      </c>
      <c r="I16" s="40">
        <v>200000.0</v>
      </c>
      <c r="J16" s="35">
        <f>MIN('Precios '!$D16:$I16)</f>
        <v>200000</v>
      </c>
      <c r="K16" s="26">
        <f>IFERROR(AVERAGE('Precios '!$D16:$I16),0)</f>
        <v>316666.6667</v>
      </c>
      <c r="L16" s="27">
        <f>MAX('Precios '!$D16:$I16)</f>
        <v>500000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3.5" customHeight="1">
      <c r="A17" s="34"/>
      <c r="B17" s="38" t="s">
        <v>23</v>
      </c>
      <c r="C17" s="39">
        <v>1.0</v>
      </c>
      <c r="D17" s="40">
        <v>25000.0</v>
      </c>
      <c r="E17" s="40">
        <v>30000.0</v>
      </c>
      <c r="F17" s="40">
        <v>100000.0</v>
      </c>
      <c r="G17" s="40">
        <v>46000.0</v>
      </c>
      <c r="H17" s="40">
        <v>70000.0</v>
      </c>
      <c r="I17" s="40">
        <v>45000.0</v>
      </c>
      <c r="J17" s="35">
        <f>MIN('Precios '!$D17:$I17)</f>
        <v>25000</v>
      </c>
      <c r="K17" s="26">
        <f>IFERROR(AVERAGE('Precios '!$D17:$I17),0)</f>
        <v>52666.66667</v>
      </c>
      <c r="L17" s="27">
        <f>MAX('Precios '!$D17:$I17)</f>
        <v>100000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3.5" customHeight="1">
      <c r="A18" s="34"/>
      <c r="B18" s="38" t="s">
        <v>24</v>
      </c>
      <c r="C18" s="39">
        <v>1.0</v>
      </c>
      <c r="D18" s="40">
        <v>1100000.0</v>
      </c>
      <c r="E18" s="40">
        <v>1000000.0</v>
      </c>
      <c r="F18" s="40">
        <v>998000.0</v>
      </c>
      <c r="G18" s="40">
        <v>469000.0</v>
      </c>
      <c r="H18" s="40">
        <v>720000.0</v>
      </c>
      <c r="I18" s="40">
        <v>680000.0</v>
      </c>
      <c r="J18" s="35">
        <f>MIN('Precios '!$D18:$I18)</f>
        <v>469000</v>
      </c>
      <c r="K18" s="36">
        <f>IFERROR(AVERAGE('Precios '!$D18:$I18),0)</f>
        <v>827833.3333</v>
      </c>
      <c r="L18" s="37">
        <f>MAX('Precios '!$D18:$I18)</f>
        <v>1100000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3.5" customHeight="1">
      <c r="A19" s="34"/>
      <c r="B19" s="41"/>
      <c r="C19" s="42"/>
      <c r="D19" s="43"/>
      <c r="E19" s="43"/>
      <c r="F19" s="43"/>
      <c r="G19" s="43"/>
      <c r="H19" s="41"/>
      <c r="I19" s="44"/>
      <c r="J19" s="35">
        <f>MIN('Precios '!$D19:$I19)</f>
        <v>0</v>
      </c>
      <c r="K19" s="26">
        <f>IFERROR(AVERAGE('Precios '!$D19:$I19),0)</f>
        <v>0</v>
      </c>
      <c r="L19" s="27">
        <f>MAX('Precios '!$D19:$I19)</f>
        <v>0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3.5" customHeight="1">
      <c r="A20" s="34"/>
      <c r="B20" s="41"/>
      <c r="C20" s="42"/>
      <c r="D20" s="43"/>
      <c r="E20" s="43"/>
      <c r="F20" s="43"/>
      <c r="G20" s="43"/>
      <c r="H20" s="41"/>
      <c r="I20" s="44"/>
      <c r="J20" s="35">
        <f>MIN('Precios '!$D20:$I20)</f>
        <v>0</v>
      </c>
      <c r="K20" s="26">
        <f>IFERROR(AVERAGE('Precios '!$D20:$I20),0)</f>
        <v>0</v>
      </c>
      <c r="L20" s="27">
        <f>MAX('Precios '!$D20:$I20)</f>
        <v>0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3.5" customHeight="1">
      <c r="A21" s="34"/>
      <c r="B21" s="41"/>
      <c r="C21" s="42"/>
      <c r="D21" s="43"/>
      <c r="E21" s="43"/>
      <c r="F21" s="43"/>
      <c r="G21" s="43"/>
      <c r="H21" s="41"/>
      <c r="I21" s="44"/>
      <c r="J21" s="35">
        <f>MIN('Precios '!$D21:$I21)</f>
        <v>0</v>
      </c>
      <c r="K21" s="26">
        <f>IFERROR(AVERAGE('Precios '!$D21:$I21),0)</f>
        <v>0</v>
      </c>
      <c r="L21" s="27">
        <f>MAX('Precios '!$D21:$I21)</f>
        <v>0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3.5" customHeight="1">
      <c r="A22" s="34"/>
      <c r="B22" s="41"/>
      <c r="C22" s="42"/>
      <c r="D22" s="43"/>
      <c r="E22" s="43"/>
      <c r="F22" s="43"/>
      <c r="G22" s="43"/>
      <c r="H22" s="41"/>
      <c r="I22" s="44"/>
      <c r="J22" s="35">
        <f>MIN('Precios '!$D22:$I22)</f>
        <v>0</v>
      </c>
      <c r="K22" s="26">
        <f>IFERROR(AVERAGE('Precios '!$D22:$I22),0)</f>
        <v>0</v>
      </c>
      <c r="L22" s="27">
        <f>MAX('Precios '!$D22:$I22)</f>
        <v>0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3.5" customHeight="1">
      <c r="A23" s="34"/>
      <c r="B23" s="41"/>
      <c r="C23" s="42"/>
      <c r="D23" s="43"/>
      <c r="E23" s="43"/>
      <c r="F23" s="43"/>
      <c r="G23" s="43"/>
      <c r="H23" s="41"/>
      <c r="I23" s="44"/>
      <c r="J23" s="35">
        <f>MIN('Precios '!$D23:$I23)</f>
        <v>0</v>
      </c>
      <c r="K23" s="26">
        <f>IFERROR(AVERAGE('Precios '!$D23:$I23),0)</f>
        <v>0</v>
      </c>
      <c r="L23" s="27">
        <f>MAX('Precios '!$D23:$I23)</f>
        <v>0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3.5" customHeight="1">
      <c r="A24" s="34"/>
      <c r="B24" s="41"/>
      <c r="C24" s="42"/>
      <c r="D24" s="43"/>
      <c r="E24" s="43"/>
      <c r="F24" s="43"/>
      <c r="G24" s="43"/>
      <c r="H24" s="41"/>
      <c r="I24" s="44"/>
      <c r="J24" s="35">
        <f>MIN('Precios '!$D24:$I24)</f>
        <v>0</v>
      </c>
      <c r="K24" s="26">
        <f>IFERROR(AVERAGE('Precios '!$D24:$I24),0)</f>
        <v>0</v>
      </c>
      <c r="L24" s="27">
        <f>MAX('Precios '!$D24:$I24)</f>
        <v>0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3.5" customHeight="1">
      <c r="A25" s="34"/>
      <c r="B25" s="41"/>
      <c r="C25" s="42"/>
      <c r="D25" s="43"/>
      <c r="E25" s="43"/>
      <c r="F25" s="43"/>
      <c r="G25" s="43"/>
      <c r="H25" s="41"/>
      <c r="I25" s="44"/>
      <c r="J25" s="35">
        <f>MIN('Precios '!$D25:$I25)</f>
        <v>0</v>
      </c>
      <c r="K25" s="26">
        <f>IFERROR(AVERAGE('Precios '!$D25:$I25),0)</f>
        <v>0</v>
      </c>
      <c r="L25" s="27">
        <f>MAX('Precios '!$D25:$I25)</f>
        <v>0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3.5" customHeight="1">
      <c r="A26" s="34"/>
      <c r="B26" s="45" t="s">
        <v>25</v>
      </c>
      <c r="C26" s="45"/>
      <c r="D26" s="46">
        <f>ROUND(SUMPRODUCT('Precios '!$C$9:$C$25,'Precios '!$E$9:$E$25),2)</f>
        <v>6916000</v>
      </c>
      <c r="E26" s="46">
        <f>ROUND(SUMPRODUCT('Precios '!$C$9:$C$25,'Precios '!$E$9:$E$25),2)</f>
        <v>6916000</v>
      </c>
      <c r="F26" s="46">
        <f>ROUND(SUMPRODUCT('Precios '!$C$9:$C$25,'Precios '!$F$9:$F$25),2)</f>
        <v>5482800</v>
      </c>
      <c r="G26" s="46">
        <f>ROUND(SUMPRODUCT('Precios '!$C$9:$C$25,'Precios '!$G$9:$G$25),2)</f>
        <v>3156000</v>
      </c>
      <c r="H26" s="46">
        <f>ROUND(SUMPRODUCT('Precios '!$C$9:$C$25,'Precios '!$H$9:$H$25),2)</f>
        <v>5286000</v>
      </c>
      <c r="I26" s="46">
        <f>ROUND(SUMPRODUCT('Precios '!$C$9:$C$25,'Precios '!$I$9:$I$25),2)</f>
        <v>5385000</v>
      </c>
      <c r="J26" s="47"/>
      <c r="K26" s="47"/>
      <c r="L26" s="48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3.5" customHeight="1">
      <c r="A27" s="34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48.0" customHeight="1">
      <c r="A28" s="34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33.0" customHeight="1">
      <c r="A29" s="34"/>
      <c r="B29" s="49" t="s">
        <v>26</v>
      </c>
      <c r="C29" s="50"/>
      <c r="D29" s="15" t="s">
        <v>6</v>
      </c>
      <c r="E29" s="15" t="s">
        <v>7</v>
      </c>
      <c r="F29" s="51" t="s">
        <v>27</v>
      </c>
      <c r="G29" s="15" t="s">
        <v>8</v>
      </c>
      <c r="H29" s="15" t="s">
        <v>10</v>
      </c>
      <c r="I29" s="15" t="s">
        <v>11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5.5" customHeight="1">
      <c r="A30" s="34"/>
      <c r="B30" s="52" t="s">
        <v>28</v>
      </c>
      <c r="C30" s="53"/>
      <c r="D30" s="54" t="s">
        <v>29</v>
      </c>
      <c r="E30" s="55" t="s">
        <v>30</v>
      </c>
      <c r="F30" s="56" t="s">
        <v>31</v>
      </c>
      <c r="G30" s="57" t="s">
        <v>32</v>
      </c>
      <c r="H30" s="55" t="s">
        <v>33</v>
      </c>
      <c r="I30" s="58" t="s">
        <v>34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8.0" customHeight="1">
      <c r="A31" s="34"/>
      <c r="B31" s="52" t="s">
        <v>35</v>
      </c>
      <c r="C31" s="53"/>
      <c r="D31" s="59">
        <v>0.0</v>
      </c>
      <c r="E31" s="60" t="s">
        <v>36</v>
      </c>
      <c r="F31" s="61">
        <v>40000.0</v>
      </c>
      <c r="G31" s="62">
        <v>0.0</v>
      </c>
      <c r="H31" s="63" t="s">
        <v>37</v>
      </c>
      <c r="I31" s="63">
        <v>0.0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3.5" customHeight="1">
      <c r="A32" s="34"/>
      <c r="B32" s="64" t="s">
        <v>38</v>
      </c>
      <c r="C32" s="65"/>
      <c r="D32" s="66"/>
      <c r="E32" s="67"/>
      <c r="F32" s="67"/>
      <c r="G32" s="67"/>
      <c r="H32" s="67"/>
      <c r="I32" s="67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3.5" customHeight="1">
      <c r="A33" s="34"/>
      <c r="B33" s="68"/>
      <c r="C33" s="69"/>
      <c r="D33" s="70"/>
      <c r="E33" s="70"/>
      <c r="F33" s="70"/>
      <c r="G33" s="70"/>
      <c r="H33" s="70"/>
      <c r="I33" s="70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3.5" customHeight="1">
      <c r="A34" s="5"/>
      <c r="B34" s="68"/>
      <c r="C34" s="69"/>
      <c r="D34" s="71" t="s">
        <v>39</v>
      </c>
      <c r="E34" s="72" t="s">
        <v>39</v>
      </c>
      <c r="F34" s="72" t="s">
        <v>39</v>
      </c>
      <c r="G34" s="72" t="s">
        <v>39</v>
      </c>
      <c r="H34" s="72" t="s">
        <v>39</v>
      </c>
      <c r="I34" s="72" t="s">
        <v>39</v>
      </c>
      <c r="J34" s="34"/>
      <c r="K34" s="34"/>
      <c r="L34" s="3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73"/>
      <c r="C35" s="74"/>
      <c r="D35" s="75"/>
      <c r="E35" s="76"/>
      <c r="F35" s="77"/>
      <c r="G35" s="77"/>
      <c r="H35" s="77"/>
      <c r="I35" s="77"/>
      <c r="J35" s="3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78"/>
      <c r="E38" s="78"/>
      <c r="F38" s="79"/>
      <c r="G38" s="80"/>
      <c r="H38" s="81"/>
      <c r="I38" s="78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78"/>
      <c r="E39" s="78"/>
      <c r="F39" s="79"/>
      <c r="G39" s="82"/>
      <c r="H39" s="81"/>
      <c r="I39" s="78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78"/>
      <c r="E40" s="78"/>
      <c r="F40" s="79"/>
      <c r="G40" s="82"/>
      <c r="H40" s="81"/>
      <c r="I40" s="78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78"/>
      <c r="E41" s="78"/>
      <c r="F41" s="79"/>
      <c r="G41" s="82"/>
      <c r="H41" s="81"/>
      <c r="I41" s="78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78"/>
      <c r="E42" s="78"/>
      <c r="F42" s="79"/>
      <c r="G42" s="82"/>
      <c r="H42" s="81"/>
      <c r="I42" s="78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78"/>
      <c r="E43" s="78"/>
      <c r="F43" s="79"/>
      <c r="G43" s="82"/>
      <c r="H43" s="81"/>
      <c r="I43" s="78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J7:L7"/>
    <mergeCell ref="B29:C29"/>
    <mergeCell ref="B30:C30"/>
    <mergeCell ref="B31:C31"/>
    <mergeCell ref="B32:C35"/>
  </mergeCells>
  <conditionalFormatting sqref="B8:C9 D26:I26">
    <cfRule type="expression" dxfId="0" priority="1">
      <formula>AND(B$26=MIN($D$26:$I$26),B$26&lt;&gt;0)</formula>
    </cfRule>
  </conditionalFormatting>
  <conditionalFormatting sqref="D8:I9 D29:E29 G29:I29">
    <cfRule type="expression" dxfId="0" priority="2">
      <formula>AND(D$26=MIN($D$26:$I$26),D$26&lt;&gt;0)</formula>
    </cfRule>
  </conditionalFormatting>
  <conditionalFormatting sqref="D9:I25">
    <cfRule type="expression" dxfId="1" priority="3">
      <formula>AND(D$26=MIN($D$26:$I$26),D$26&lt;&gt;0)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5.0"/>
    <col customWidth="1" min="5" max="5" width="34.17"/>
    <col customWidth="1" min="6" max="6" width="25.17"/>
    <col customWidth="1" min="7" max="9" width="22.17"/>
    <col customWidth="1" min="10" max="10" width="27.17"/>
    <col customWidth="1" min="11" max="11" width="23.5"/>
    <col customWidth="1" min="12" max="12" width="24.67"/>
    <col customWidth="1" min="13" max="13" width="20.5"/>
    <col customWidth="1" min="14" max="14" width="20.67"/>
    <col customWidth="1" min="15" max="26" width="9.17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4" t="s">
        <v>40</v>
      </c>
      <c r="E8" s="14" t="s">
        <v>41</v>
      </c>
      <c r="F8" s="14" t="s">
        <v>42</v>
      </c>
      <c r="G8" s="14" t="s">
        <v>43</v>
      </c>
      <c r="H8" s="14" t="s">
        <v>44</v>
      </c>
      <c r="I8" s="14" t="s">
        <v>45</v>
      </c>
      <c r="J8" s="83" t="s">
        <v>12</v>
      </c>
      <c r="K8" s="84" t="s">
        <v>13</v>
      </c>
      <c r="L8" s="18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3.5" customHeight="1">
      <c r="A9" s="19"/>
      <c r="B9" s="85" t="str">
        <f>'[1]Portatil Nosotros'!$D$8</f>
        <v>#REF!</v>
      </c>
      <c r="C9" s="33">
        <v>3.0</v>
      </c>
      <c r="D9" s="86" t="str">
        <f t="shared" ref="D9:D10" si="1">'[1]Monitor Nosotros'!$H$8*3</f>
        <v>#REF!</v>
      </c>
      <c r="E9" s="86" t="str">
        <f>'[1]Portatil Nosotros'!$H$9*3</f>
        <v>#REF!</v>
      </c>
      <c r="F9" s="86" t="str">
        <f t="shared" ref="F9:F10" si="2">'[1]Monitor Nosotros'!$H$10*3</f>
        <v>#REF!</v>
      </c>
      <c r="G9" s="86"/>
      <c r="H9" s="86"/>
      <c r="I9" s="86"/>
      <c r="J9" s="31" t="str">
        <f>MIN('Precios  (2)'!$D9:$I9)</f>
        <v>#REF!</v>
      </c>
      <c r="K9" s="26">
        <f>IFERROR(AVERAGE('Precios  (2)'!$D9:$I9),0)</f>
        <v>0</v>
      </c>
      <c r="L9" s="27" t="str">
        <f>MAX('Precios  (2)'!$D9:$I9)</f>
        <v>#REF!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3.5" customHeight="1">
      <c r="A10" s="19"/>
      <c r="B10" s="85" t="str">
        <f>'[1]Monitor Nosotros'!$D$8</f>
        <v>#REF!</v>
      </c>
      <c r="C10" s="33">
        <v>3.0</v>
      </c>
      <c r="D10" s="86" t="str">
        <f t="shared" si="1"/>
        <v>#REF!</v>
      </c>
      <c r="E10" s="86" t="str">
        <f>'[1]Monitor Nosotros'!$H$9*3</f>
        <v>#REF!</v>
      </c>
      <c r="F10" s="86" t="str">
        <f t="shared" si="2"/>
        <v>#REF!</v>
      </c>
      <c r="G10" s="86"/>
      <c r="H10" s="86"/>
      <c r="I10" s="86"/>
      <c r="J10" s="31" t="str">
        <f>MIN('Precios  (2)'!$D10:$I10)</f>
        <v>#REF!</v>
      </c>
      <c r="K10" s="26">
        <f>IFERROR(AVERAGE('Precios  (2)'!$D10:$I10),0)</f>
        <v>0</v>
      </c>
      <c r="L10" s="27" t="str">
        <f>MAX('Precios  (2)'!$D10:$I10)</f>
        <v>#REF!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3.5" customHeight="1">
      <c r="A11" s="19"/>
      <c r="B11" s="85" t="str">
        <f>'[1] Disco mecanico Nosotros'!$D$8</f>
        <v>#REF!</v>
      </c>
      <c r="C11" s="33">
        <v>3.0</v>
      </c>
      <c r="D11" s="86" t="str">
        <f>'[1] Disco mecanico Nosotros'!$H$8*3</f>
        <v>#REF!</v>
      </c>
      <c r="E11" s="86" t="str">
        <f>'[1] Disco mecanico Nosotros'!$H$9*3</f>
        <v>#REF!</v>
      </c>
      <c r="F11" s="86" t="str">
        <f>'[1] Disco mecanico Nosotros'!$H$10*3</f>
        <v>#REF!</v>
      </c>
      <c r="G11" s="86"/>
      <c r="H11" s="86"/>
      <c r="I11" s="86"/>
      <c r="J11" s="31" t="str">
        <f>MIN('Precios  (2)'!$D11:$I11)</f>
        <v>#REF!</v>
      </c>
      <c r="K11" s="26">
        <f>IFERROR(AVERAGE('Precios  (2)'!$D11:$I11),0)</f>
        <v>0</v>
      </c>
      <c r="L11" s="27" t="str">
        <f>MAX('Precios  (2)'!$D11:$I11)</f>
        <v>#REF!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3.5" customHeight="1">
      <c r="A12" s="19"/>
      <c r="B12" s="85" t="str">
        <f>'[1] ram nosotros'!$D$8</f>
        <v>#REF!</v>
      </c>
      <c r="C12" s="33">
        <v>3.0</v>
      </c>
      <c r="D12" s="86" t="str">
        <f>'[1] ram nosotros'!$H$8*3</f>
        <v>#REF!</v>
      </c>
      <c r="E12" s="86" t="str">
        <f>'[1] ram nosotros'!$H$9*3</f>
        <v>#REF!</v>
      </c>
      <c r="F12" s="86" t="str">
        <f>'[1] ram nosotros'!$H$10*3</f>
        <v>#REF!</v>
      </c>
      <c r="G12" s="86"/>
      <c r="H12" s="86"/>
      <c r="I12" s="86"/>
      <c r="J12" s="31" t="str">
        <f>MIN('Precios  (2)'!$D12:$I12)</f>
        <v>#REF!</v>
      </c>
      <c r="K12" s="26">
        <f>IFERROR(AVERAGE('Precios  (2)'!$D12:$I12),0)</f>
        <v>0</v>
      </c>
      <c r="L12" s="27" t="str">
        <f>MAX('Precios  (2)'!$D12:$I12)</f>
        <v>#REF!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3.5" customHeight="1">
      <c r="A13" s="19"/>
      <c r="B13" s="85" t="str">
        <f>'[1] Servidor Nosotros'!$D$8</f>
        <v>#REF!</v>
      </c>
      <c r="C13" s="33">
        <v>3.0</v>
      </c>
      <c r="D13" s="86" t="str">
        <f>'[1] Servidor Nosotros'!$H$8*3</f>
        <v>#REF!</v>
      </c>
      <c r="E13" s="86" t="str">
        <f>'[1] Servidor Nosotros'!$H$9*3</f>
        <v>#REF!</v>
      </c>
      <c r="F13" s="86" t="str">
        <f>'[1] Servidor Nosotros'!$H$10*3</f>
        <v>#REF!</v>
      </c>
      <c r="G13" s="86"/>
      <c r="H13" s="86"/>
      <c r="I13" s="86"/>
      <c r="J13" s="31" t="str">
        <f>MIN('Precios  (2)'!$D13:$I13)</f>
        <v>#REF!</v>
      </c>
      <c r="K13" s="26">
        <f>IFERROR(AVERAGE('Precios  (2)'!$D13:$I13),0)</f>
        <v>0</v>
      </c>
      <c r="L13" s="27" t="str">
        <f>MAX('Precios  (2)'!$D13:$I13)</f>
        <v>#REF!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3.5" customHeight="1">
      <c r="A14" s="19"/>
      <c r="B14" s="85" t="str">
        <f>'[1]Tarjeta de video nosotros'!$D$8</f>
        <v>#REF!</v>
      </c>
      <c r="C14" s="33">
        <v>3.0</v>
      </c>
      <c r="D14" s="86" t="str">
        <f>'[1]Tarjeta de video nosotros'!$H$8*3</f>
        <v>#REF!</v>
      </c>
      <c r="E14" s="86" t="str">
        <f>'[1]Tarjeta de video nosotros'!$H$9*3</f>
        <v>#REF!</v>
      </c>
      <c r="F14" s="86" t="str">
        <f>'[1]Tarjeta de video nosotros'!$H$10*3</f>
        <v>#REF!</v>
      </c>
      <c r="G14" s="86"/>
      <c r="H14" s="86"/>
      <c r="I14" s="86"/>
      <c r="J14" s="35" t="str">
        <f>MIN('Precios  (2)'!$D14:$I14)</f>
        <v>#REF!</v>
      </c>
      <c r="K14" s="36">
        <f>IFERROR(AVERAGE('Precios  (2)'!$D14:$I14),0)</f>
        <v>0</v>
      </c>
      <c r="L14" s="37" t="str">
        <f>MAX('Precios  (2)'!$D14:$I14)</f>
        <v>#REF!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3.5" customHeight="1">
      <c r="A15" s="34"/>
      <c r="B15" s="87" t="str">
        <f>'[1]Procesador Nosotros'!$D$8</f>
        <v>#REF!</v>
      </c>
      <c r="C15" s="39">
        <v>3.0</v>
      </c>
      <c r="D15" s="88" t="str">
        <f>'[1]Procesador Nosotros'!$G$8*3</f>
        <v>#REF!</v>
      </c>
      <c r="E15" s="88" t="str">
        <f>'[1]Procesador Nosotros'!$H$9*3</f>
        <v>#REF!</v>
      </c>
      <c r="F15" s="88" t="str">
        <f>'[1]Procesador Nosotros'!$H$10*3</f>
        <v>#REF!</v>
      </c>
      <c r="G15" s="88"/>
      <c r="H15" s="88"/>
      <c r="I15" s="88"/>
      <c r="J15" s="35" t="str">
        <f>MIN('Precios  (2)'!$D15:$I15)</f>
        <v>#REF!</v>
      </c>
      <c r="K15" s="26">
        <f>IFERROR(AVERAGE('Precios  (2)'!$D15:$I15),0)</f>
        <v>0</v>
      </c>
      <c r="L15" s="27" t="str">
        <f>MAX('Precios  (2)'!$D15:$I15)</f>
        <v>#REF!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3.5" customHeight="1">
      <c r="A16" s="34"/>
      <c r="B16" s="87" t="str">
        <f>'[1]Teclado Admin'!$D$8</f>
        <v>#REF!</v>
      </c>
      <c r="C16" s="39">
        <v>3.0</v>
      </c>
      <c r="D16" s="88" t="str">
        <f>'[1]Teclado nosostros '!$H$8*3</f>
        <v>#REF!</v>
      </c>
      <c r="E16" s="88" t="str">
        <f>'[1]Teclado nosostros '!$H$9*3</f>
        <v>#REF!</v>
      </c>
      <c r="F16" s="88" t="str">
        <f>'[1]Teclado nosostros '!$H$10*3</f>
        <v>#REF!</v>
      </c>
      <c r="G16" s="88"/>
      <c r="H16" s="88"/>
      <c r="I16" s="88"/>
      <c r="J16" s="35" t="str">
        <f>MIN('Precios  (2)'!$D16:$I16)</f>
        <v>#REF!</v>
      </c>
      <c r="K16" s="26">
        <f>IFERROR(AVERAGE('Precios  (2)'!$D16:$I16),0)</f>
        <v>0</v>
      </c>
      <c r="L16" s="27" t="str">
        <f>MAX('Precios  (2)'!$D16:$I16)</f>
        <v>#REF!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3.5" customHeight="1">
      <c r="A17" s="34"/>
      <c r="B17" s="87" t="str">
        <f>'[1]Mause Admin'!$D$8</f>
        <v>#REF!</v>
      </c>
      <c r="C17" s="39">
        <v>3.0</v>
      </c>
      <c r="D17" s="88" t="str">
        <f>'[1]Muse nosotros'!$H$8*3</f>
        <v>#REF!</v>
      </c>
      <c r="E17" s="88" t="str">
        <f>'[1]Muse nosotros'!$H$9*3</f>
        <v>#REF!</v>
      </c>
      <c r="F17" s="88" t="str">
        <f>'[1]Muse nosotros'!$H$10*3</f>
        <v>#REF!</v>
      </c>
      <c r="G17" s="88"/>
      <c r="H17" s="88"/>
      <c r="I17" s="88"/>
      <c r="J17" s="35" t="str">
        <f>MIN('Precios  (2)'!$D17:$I17)</f>
        <v>#REF!</v>
      </c>
      <c r="K17" s="36">
        <f>IFERROR(AVERAGE('Precios  (2)'!$D17:$I17),0)</f>
        <v>0</v>
      </c>
      <c r="L17" s="37" t="str">
        <f>MAX('Precios  (2)'!$D17:$I17)</f>
        <v>#REF!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3.5" customHeight="1">
      <c r="A18" s="34"/>
      <c r="B18" s="89" t="str">
        <f>'[1]software licencia'!$D$8</f>
        <v>#REF!</v>
      </c>
      <c r="C18" s="42">
        <v>3.0</v>
      </c>
      <c r="D18" s="43" t="str">
        <f>'[1]software licencia'!$H$8*3</f>
        <v>#REF!</v>
      </c>
      <c r="E18" s="43" t="str">
        <f>'[1]software licencia'!$H$9*3</f>
        <v>#REF!</v>
      </c>
      <c r="F18" s="43" t="str">
        <f>'[1]software licencia'!$H$10*3</f>
        <v>#REF!</v>
      </c>
      <c r="G18" s="43"/>
      <c r="H18" s="41"/>
      <c r="I18" s="44"/>
      <c r="J18" s="35" t="str">
        <f>MIN('Precios  (2)'!$D18:$I18)</f>
        <v>#REF!</v>
      </c>
      <c r="K18" s="26">
        <f>IFERROR(AVERAGE('Precios  (2)'!$D18:$I18),0)</f>
        <v>0</v>
      </c>
      <c r="L18" s="27" t="str">
        <f>MAX('Precios  (2)'!$D18:$I18)</f>
        <v>#REF!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3.5" customHeight="1">
      <c r="A19" s="34"/>
      <c r="B19" s="89" t="str">
        <f>'[1]licencia visual'!$D$8</f>
        <v>#REF!</v>
      </c>
      <c r="C19" s="42">
        <v>3.0</v>
      </c>
      <c r="D19" s="43" t="str">
        <f t="shared" ref="D19:D20" si="3">'[1]licencia visual'!$H$8*3</f>
        <v>#REF!</v>
      </c>
      <c r="E19" s="43" t="str">
        <f t="shared" ref="E19:E20" si="4">'[1]licencia visual'!$H$9*3</f>
        <v>#REF!</v>
      </c>
      <c r="F19" s="43" t="str">
        <f t="shared" ref="F19:F20" si="5">'[1]licencia visual'!$H$10*3</f>
        <v>#REF!</v>
      </c>
      <c r="G19" s="43"/>
      <c r="H19" s="41"/>
      <c r="I19" s="44"/>
      <c r="J19" s="35" t="str">
        <f>MIN('Precios  (2)'!$D19:$I19)</f>
        <v>#REF!</v>
      </c>
      <c r="K19" s="26">
        <f>IFERROR(AVERAGE('Precios  (2)'!$D19:$I19),0)</f>
        <v>0</v>
      </c>
      <c r="L19" s="27" t="str">
        <f>MAX('Precios  (2)'!$D19:$I19)</f>
        <v>#REF!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3.5" customHeight="1">
      <c r="A20" s="34"/>
      <c r="B20" s="89" t="str">
        <f>'[1]windows 11 licencia'!$D$8</f>
        <v>#REF!</v>
      </c>
      <c r="C20" s="42">
        <v>3.0</v>
      </c>
      <c r="D20" s="43" t="str">
        <f t="shared" si="3"/>
        <v>#REF!</v>
      </c>
      <c r="E20" s="43" t="str">
        <f t="shared" si="4"/>
        <v>#REF!</v>
      </c>
      <c r="F20" s="43" t="str">
        <f t="shared" si="5"/>
        <v>#REF!</v>
      </c>
      <c r="G20" s="43"/>
      <c r="H20" s="41"/>
      <c r="I20" s="44"/>
      <c r="J20" s="35" t="str">
        <f>MIN('Precios  (2)'!$D20:$I20)</f>
        <v>#REF!</v>
      </c>
      <c r="K20" s="26">
        <f>IFERROR(AVERAGE('Precios  (2)'!$D20:$I20),0)</f>
        <v>0</v>
      </c>
      <c r="L20" s="27" t="str">
        <f>MAX('Precios  (2)'!$D20:$I20)</f>
        <v>#REF!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3.5" customHeight="1">
      <c r="A21" s="34"/>
      <c r="B21" s="89" t="str">
        <f>'[1]licencia SQL'!$D$8</f>
        <v>#REF!</v>
      </c>
      <c r="C21" s="42">
        <v>3.0</v>
      </c>
      <c r="D21" s="43" t="str">
        <f>'[1]licencia SQL'!$H$8*3</f>
        <v>#REF!</v>
      </c>
      <c r="E21" s="43" t="str">
        <f>'[1]licencia SQL'!$H$9*3</f>
        <v>#REF!</v>
      </c>
      <c r="F21" s="43" t="str">
        <f>'[1]windows 11 licencia'!$H$10*3</f>
        <v>#REF!</v>
      </c>
      <c r="G21" s="43"/>
      <c r="H21" s="41"/>
      <c r="I21" s="44"/>
      <c r="J21" s="35" t="str">
        <f>MIN('Precios  (2)'!$D21:$I21)</f>
        <v>#REF!</v>
      </c>
      <c r="K21" s="26">
        <f>IFERROR(AVERAGE('Precios  (2)'!$D21:$I21),0)</f>
        <v>0</v>
      </c>
      <c r="L21" s="27" t="str">
        <f>MAX('Precios  (2)'!$D21:$I21)</f>
        <v>#REF!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3.5" customHeight="1">
      <c r="A22" s="34"/>
      <c r="B22" s="41"/>
      <c r="C22" s="42"/>
      <c r="D22" s="43"/>
      <c r="E22" s="43"/>
      <c r="F22" s="43"/>
      <c r="G22" s="43"/>
      <c r="H22" s="41"/>
      <c r="I22" s="44"/>
      <c r="J22" s="35">
        <f>MIN('Precios  (2)'!$D22:$I22)</f>
        <v>0</v>
      </c>
      <c r="K22" s="26">
        <f>IFERROR(AVERAGE('Precios  (2)'!$D22:$I22),0)</f>
        <v>0</v>
      </c>
      <c r="L22" s="27">
        <f>MAX('Precios  (2)'!$D22:$I22)</f>
        <v>0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3.5" customHeight="1">
      <c r="A23" s="34"/>
      <c r="B23" s="41"/>
      <c r="C23" s="42"/>
      <c r="D23" s="43"/>
      <c r="E23" s="43"/>
      <c r="F23" s="43"/>
      <c r="G23" s="43"/>
      <c r="H23" s="41"/>
      <c r="I23" s="44"/>
      <c r="J23" s="35">
        <f>MIN('Precios  (2)'!$D23:$I23)</f>
        <v>0</v>
      </c>
      <c r="K23" s="26">
        <f>IFERROR(AVERAGE('Precios  (2)'!$D23:$I23),0)</f>
        <v>0</v>
      </c>
      <c r="L23" s="27">
        <f>MAX('Precios  (2)'!$D23:$I23)</f>
        <v>0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3.5" customHeight="1">
      <c r="A24" s="34"/>
      <c r="B24" s="41"/>
      <c r="C24" s="42"/>
      <c r="D24" s="43"/>
      <c r="E24" s="43"/>
      <c r="F24" s="43"/>
      <c r="G24" s="43"/>
      <c r="H24" s="41"/>
      <c r="I24" s="44"/>
      <c r="J24" s="35">
        <f>MIN('Precios  (2)'!$D24:$I24)</f>
        <v>0</v>
      </c>
      <c r="K24" s="26">
        <f>IFERROR(AVERAGE('Precios  (2)'!$D24:$I24),0)</f>
        <v>0</v>
      </c>
      <c r="L24" s="27">
        <f>MAX('Precios  (2)'!$D24:$I24)</f>
        <v>0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3.5" customHeight="1">
      <c r="A25" s="34"/>
      <c r="B25" s="45" t="s">
        <v>25</v>
      </c>
      <c r="C25" s="45"/>
      <c r="D25" s="46" t="str">
        <f>ROUND(SUMPRODUCT('Precios  (2)'!$C$9:$C$24,'Precios  (2)'!$D$9:$D$24),2)</f>
        <v>#REF!</v>
      </c>
      <c r="E25" s="46" t="str">
        <f>ROUND(SUMPRODUCT('Precios  (2)'!$C$9:$C$24,'Precios  (2)'!$E$9:$E$24),2)</f>
        <v>#REF!</v>
      </c>
      <c r="F25" s="46" t="str">
        <f>ROUND(SUMPRODUCT('Precios  (2)'!$C$9:$C$24,'Precios  (2)'!$F$9:$F$24),2)</f>
        <v>#REF!</v>
      </c>
      <c r="G25" s="46">
        <f>ROUND(SUMPRODUCT('Precios  (2)'!$C$9:$C$24,'Precios  (2)'!$G$9:$G$24),2)</f>
        <v>0</v>
      </c>
      <c r="H25" s="46">
        <f>ROUND(SUMPRODUCT('Precios  (2)'!$C$9:$C$24,'Precios  (2)'!$H$9:$H$24),2)</f>
        <v>0</v>
      </c>
      <c r="I25" s="46">
        <f>ROUND(SUMPRODUCT('Precios  (2)'!$C$9:$C$24,'Precios  (2)'!$I$9:$I$24),2)</f>
        <v>0</v>
      </c>
      <c r="J25" s="47"/>
      <c r="K25" s="47"/>
      <c r="L25" s="48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3.5" customHeight="1">
      <c r="A26" s="34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3.5" customHeight="1">
      <c r="A27" s="34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48.0" customHeight="1">
      <c r="A28" s="34"/>
      <c r="B28" s="49" t="s">
        <v>26</v>
      </c>
      <c r="C28" s="50"/>
      <c r="D28" s="90"/>
      <c r="E28" s="90"/>
      <c r="F28" s="90"/>
      <c r="G28" s="90"/>
      <c r="H28" s="90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33.0" customHeight="1">
      <c r="A29" s="34"/>
      <c r="B29" s="52" t="s">
        <v>28</v>
      </c>
      <c r="C29" s="53"/>
      <c r="D29" s="91"/>
      <c r="E29" s="58"/>
      <c r="F29" s="58"/>
      <c r="G29" s="58"/>
      <c r="H29" s="58"/>
      <c r="I29" s="58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5.5" customHeight="1">
      <c r="A30" s="34"/>
      <c r="B30" s="52" t="s">
        <v>35</v>
      </c>
      <c r="C30" s="53"/>
      <c r="D30" s="92"/>
      <c r="E30" s="63"/>
      <c r="F30" s="63"/>
      <c r="G30" s="58"/>
      <c r="H30" s="63"/>
      <c r="I30" s="63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8.0" customHeight="1">
      <c r="A31" s="34"/>
      <c r="B31" s="64" t="s">
        <v>38</v>
      </c>
      <c r="C31" s="65"/>
      <c r="D31" s="66"/>
      <c r="E31" s="67"/>
      <c r="F31" s="67"/>
      <c r="G31" s="67"/>
      <c r="H31" s="67"/>
      <c r="I31" s="67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3.5" customHeight="1">
      <c r="A32" s="34"/>
      <c r="B32" s="68"/>
      <c r="C32" s="69"/>
      <c r="D32" s="70"/>
      <c r="E32" s="93"/>
      <c r="F32" s="93"/>
      <c r="G32" s="93"/>
      <c r="H32" s="93"/>
      <c r="I32" s="93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3.5" customHeight="1">
      <c r="A33" s="34"/>
      <c r="B33" s="68"/>
      <c r="C33" s="69"/>
      <c r="D33" s="72"/>
      <c r="E33" s="94"/>
      <c r="F33" s="94"/>
      <c r="G33" s="94"/>
      <c r="H33" s="94"/>
      <c r="I33" s="9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3.5" customHeight="1">
      <c r="A34" s="5"/>
      <c r="B34" s="73"/>
      <c r="C34" s="74"/>
      <c r="D34" s="95"/>
      <c r="E34" s="77"/>
      <c r="F34" s="77"/>
      <c r="G34" s="77"/>
      <c r="H34" s="77"/>
      <c r="I34" s="77"/>
      <c r="J34" s="3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78"/>
      <c r="E37" s="78"/>
      <c r="F37" s="79"/>
      <c r="G37" s="80"/>
      <c r="H37" s="81"/>
      <c r="I37" s="78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78"/>
      <c r="E38" s="78"/>
      <c r="F38" s="79"/>
      <c r="G38" s="82"/>
      <c r="H38" s="81"/>
      <c r="I38" s="78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78"/>
      <c r="E39" s="78"/>
      <c r="F39" s="79"/>
      <c r="G39" s="82"/>
      <c r="H39" s="81"/>
      <c r="I39" s="78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78"/>
      <c r="E40" s="78"/>
      <c r="F40" s="79"/>
      <c r="G40" s="82"/>
      <c r="H40" s="81"/>
      <c r="I40" s="78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78"/>
      <c r="E41" s="78"/>
      <c r="F41" s="79"/>
      <c r="G41" s="82"/>
      <c r="H41" s="81"/>
      <c r="I41" s="78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78"/>
      <c r="E42" s="78"/>
      <c r="F42" s="79"/>
      <c r="G42" s="82"/>
      <c r="H42" s="81"/>
      <c r="I42" s="78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J7:L7"/>
    <mergeCell ref="B28:C28"/>
    <mergeCell ref="B29:C29"/>
    <mergeCell ref="B30:C30"/>
    <mergeCell ref="B31:C34"/>
  </mergeCells>
  <conditionalFormatting sqref="B8:C8">
    <cfRule type="expression" dxfId="0" priority="1">
      <formula>AND(B$25=MIN($D$25:$I$25),B$25&lt;&gt;0)</formula>
    </cfRule>
  </conditionalFormatting>
  <conditionalFormatting sqref="D8:I8 D25:I25">
    <cfRule type="expression" dxfId="0" priority="2">
      <formula>AND(D$25=MIN($D$25:$I$25),D$25&lt;&gt;0)</formula>
    </cfRule>
  </conditionalFormatting>
  <conditionalFormatting sqref="D9:I24">
    <cfRule type="expression" dxfId="1" priority="3">
      <formula>AND(D$25=MIN($D$25:$I$25),D$25&lt;&gt;0)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0"/>
    <col customWidth="1" min="2" max="2" width="19.67"/>
    <col customWidth="1" min="3" max="3" width="12.0"/>
    <col customWidth="1" min="4" max="9" width="18.5"/>
    <col customWidth="1" min="10" max="26" width="12.0"/>
  </cols>
  <sheetData>
    <row r="1" ht="10.5" customHeight="1"/>
    <row r="2" ht="10.5" customHeight="1"/>
    <row r="3" ht="10.5" customHeight="1"/>
    <row r="4" ht="10.5" customHeight="1"/>
    <row r="5" ht="10.5" customHeight="1"/>
    <row r="6" ht="10.5" customHeight="1"/>
    <row r="7" ht="10.5" customHeight="1">
      <c r="B7" s="96" t="s">
        <v>46</v>
      </c>
      <c r="C7" s="97">
        <v>1.0</v>
      </c>
      <c r="D7" s="96">
        <v>498.0</v>
      </c>
      <c r="E7" s="96">
        <v>420.0</v>
      </c>
      <c r="F7" s="96">
        <v>450.0</v>
      </c>
      <c r="G7" s="96">
        <v>230.0</v>
      </c>
      <c r="H7" s="96">
        <v>600.0</v>
      </c>
      <c r="I7" s="96">
        <v>520.0</v>
      </c>
    </row>
    <row r="8" ht="10.5" customHeight="1">
      <c r="B8" s="96" t="s">
        <v>47</v>
      </c>
      <c r="C8" s="97">
        <v>2.0</v>
      </c>
      <c r="D8" s="96">
        <v>450.0</v>
      </c>
      <c r="E8" s="96">
        <v>220.0</v>
      </c>
      <c r="F8" s="96">
        <v>405.0</v>
      </c>
      <c r="G8" s="96">
        <v>495.0</v>
      </c>
      <c r="H8" s="96">
        <v>540.0</v>
      </c>
      <c r="I8" s="96">
        <v>200.0</v>
      </c>
    </row>
    <row r="9" ht="10.5" customHeight="1">
      <c r="B9" s="96" t="s">
        <v>48</v>
      </c>
      <c r="C9" s="97">
        <v>2.0</v>
      </c>
      <c r="D9" s="96">
        <v>650.0</v>
      </c>
      <c r="E9" s="96">
        <v>620.0</v>
      </c>
      <c r="F9" s="96">
        <v>666.0</v>
      </c>
      <c r="G9" s="96">
        <v>400.0</v>
      </c>
      <c r="H9" s="96">
        <v>648.0</v>
      </c>
      <c r="I9" s="96">
        <v>452.4</v>
      </c>
    </row>
    <row r="10" ht="10.5" customHeight="1">
      <c r="B10" s="96" t="s">
        <v>49</v>
      </c>
      <c r="C10" s="97">
        <v>1.0</v>
      </c>
      <c r="D10" s="96">
        <v>585.0</v>
      </c>
      <c r="E10" s="96">
        <v>558.0</v>
      </c>
      <c r="F10" s="96">
        <v>320.0</v>
      </c>
      <c r="G10" s="96">
        <v>360.0</v>
      </c>
      <c r="H10" s="96">
        <v>583.2</v>
      </c>
      <c r="I10" s="96">
        <v>407.16</v>
      </c>
    </row>
    <row r="11" ht="10.5" customHeight="1">
      <c r="B11" s="96" t="s">
        <v>50</v>
      </c>
      <c r="C11" s="97">
        <v>3.0</v>
      </c>
      <c r="D11" s="96">
        <v>526.5</v>
      </c>
      <c r="E11" s="96">
        <v>502.2</v>
      </c>
      <c r="F11" s="96">
        <v>539.46</v>
      </c>
      <c r="G11" s="96">
        <v>300.0</v>
      </c>
      <c r="H11" s="96">
        <v>500.0</v>
      </c>
      <c r="I11" s="96">
        <v>366.44</v>
      </c>
    </row>
    <row r="12" ht="10.5" customHeight="1">
      <c r="B12" s="96" t="s">
        <v>51</v>
      </c>
      <c r="C12" s="97">
        <v>1.0</v>
      </c>
      <c r="D12" s="96">
        <v>473.8</v>
      </c>
      <c r="E12" s="96">
        <v>200.0</v>
      </c>
      <c r="F12" s="96">
        <v>485.51</v>
      </c>
      <c r="G12" s="96">
        <v>291.6</v>
      </c>
      <c r="H12" s="96">
        <v>270.0</v>
      </c>
      <c r="I12" s="96">
        <v>220.0</v>
      </c>
    </row>
    <row r="13" ht="10.5" customHeight="1"/>
    <row r="14" ht="10.5" customHeight="1"/>
    <row r="15" ht="10.5" customHeight="1"/>
    <row r="16" ht="10.5" customHeight="1"/>
    <row r="17" ht="10.5" customHeight="1"/>
    <row r="18" ht="10.5" customHeight="1"/>
    <row r="19" ht="10.5" customHeight="1">
      <c r="D19" s="91">
        <v>30.0</v>
      </c>
      <c r="E19" s="58">
        <v>10.0</v>
      </c>
      <c r="F19" s="58">
        <v>15.0</v>
      </c>
      <c r="G19" s="58">
        <v>15.0</v>
      </c>
      <c r="H19" s="58">
        <v>15.0</v>
      </c>
      <c r="I19" s="58">
        <v>10.0</v>
      </c>
    </row>
    <row r="20" ht="10.5" customHeight="1">
      <c r="D20" s="92">
        <v>10.0</v>
      </c>
      <c r="E20" s="63">
        <v>10.0</v>
      </c>
      <c r="F20" s="63">
        <v>10.0</v>
      </c>
      <c r="G20" s="58" t="s">
        <v>52</v>
      </c>
      <c r="H20" s="63">
        <v>5.0</v>
      </c>
      <c r="I20" s="63" t="s">
        <v>52</v>
      </c>
    </row>
    <row r="21" ht="10.5" customHeight="1">
      <c r="D21" s="66" t="s">
        <v>53</v>
      </c>
      <c r="E21" s="67" t="s">
        <v>53</v>
      </c>
      <c r="F21" s="67" t="s">
        <v>54</v>
      </c>
      <c r="G21" s="67" t="s">
        <v>55</v>
      </c>
      <c r="H21" s="67" t="s">
        <v>54</v>
      </c>
      <c r="I21" s="67" t="s">
        <v>54</v>
      </c>
    </row>
    <row r="22" ht="10.5" customHeight="1">
      <c r="D22" s="70" t="s">
        <v>56</v>
      </c>
      <c r="E22" s="93" t="s">
        <v>56</v>
      </c>
      <c r="F22" s="93" t="s">
        <v>57</v>
      </c>
      <c r="G22" s="93" t="s">
        <v>54</v>
      </c>
      <c r="H22" s="93" t="s">
        <v>57</v>
      </c>
      <c r="I22" s="93" t="s">
        <v>57</v>
      </c>
    </row>
    <row r="23" ht="10.5" customHeight="1">
      <c r="D23" s="72"/>
      <c r="E23" s="94"/>
      <c r="F23" s="94"/>
      <c r="G23" s="94"/>
      <c r="H23" s="94"/>
      <c r="I23" s="94"/>
    </row>
    <row r="24" ht="10.5" customHeight="1">
      <c r="D24" s="95"/>
      <c r="E24" s="77"/>
      <c r="F24" s="77"/>
      <c r="G24" s="77"/>
      <c r="H24" s="77"/>
      <c r="I24" s="77"/>
    </row>
    <row r="25" ht="10.5" customHeight="1"/>
    <row r="26" ht="10.5" customHeight="1"/>
    <row r="27" ht="10.5" customHeight="1"/>
    <row r="28" ht="10.5" customHeight="1">
      <c r="B28" s="96" t="s">
        <v>58</v>
      </c>
      <c r="C28" s="97">
        <v>1.0</v>
      </c>
      <c r="D28" s="96">
        <v>340.0</v>
      </c>
      <c r="E28" s="96">
        <v>330.0</v>
      </c>
      <c r="F28" s="96">
        <v>440.0</v>
      </c>
      <c r="G28" s="96">
        <v>400.0</v>
      </c>
      <c r="H28" s="96">
        <v>320.0</v>
      </c>
      <c r="I28" s="96">
        <v>330.0</v>
      </c>
    </row>
    <row r="29" ht="10.5" customHeight="1">
      <c r="B29" s="96" t="s">
        <v>59</v>
      </c>
      <c r="C29" s="97">
        <v>1.0</v>
      </c>
      <c r="D29" s="96">
        <v>220.0</v>
      </c>
      <c r="E29" s="96">
        <v>230.0</v>
      </c>
      <c r="F29" s="96">
        <v>240.0</v>
      </c>
      <c r="G29" s="96">
        <v>220.0</v>
      </c>
      <c r="H29" s="96">
        <v>219.0</v>
      </c>
      <c r="I29" s="96">
        <v>218.0</v>
      </c>
    </row>
    <row r="30" ht="10.5" customHeight="1">
      <c r="B30" s="96" t="s">
        <v>60</v>
      </c>
      <c r="C30" s="97">
        <v>2.0</v>
      </c>
      <c r="D30" s="96">
        <v>560.0</v>
      </c>
      <c r="E30" s="96">
        <v>580.0</v>
      </c>
      <c r="F30" s="96">
        <v>550.0</v>
      </c>
      <c r="G30" s="96">
        <v>520.0</v>
      </c>
      <c r="H30" s="96">
        <v>551.0</v>
      </c>
      <c r="I30" s="96">
        <v>550.0</v>
      </c>
    </row>
    <row r="31" ht="10.5" customHeight="1"/>
    <row r="32" ht="10.5" customHeight="1"/>
    <row r="33" ht="10.5" customHeight="1"/>
    <row r="34" ht="10.5" customHeight="1"/>
    <row r="35" ht="10.5" customHeight="1">
      <c r="B35" s="98" t="s">
        <v>61</v>
      </c>
    </row>
    <row r="36" ht="10.5" customHeight="1">
      <c r="B36" s="99">
        <v>250.0</v>
      </c>
    </row>
    <row r="37" ht="10.5" customHeight="1">
      <c r="B37" s="100">
        <v>440.0</v>
      </c>
    </row>
    <row r="38" ht="10.5" customHeight="1">
      <c r="B38" s="100">
        <v>440.0</v>
      </c>
    </row>
    <row r="39" ht="10.5" customHeight="1">
      <c r="B39" s="100">
        <v>350.0</v>
      </c>
    </row>
    <row r="40" ht="10.5" customHeight="1">
      <c r="B40" s="100">
        <v>420.0</v>
      </c>
    </row>
    <row r="41" ht="10.5" customHeight="1">
      <c r="B41" s="100">
        <v>199.0</v>
      </c>
    </row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conditionalFormatting sqref="D7:I12 D28:I30">
    <cfRule type="expression" dxfId="1" priority="1">
      <formula>AND(D$15=MIN($D$15:$I$15),D$15&lt;&gt;0)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2013-10-17T12:18:53Z</dcterms:created>
  <dc:creator>Planilla excel</dc:creator>
</cp:coreProperties>
</file>