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https://d.docs.live.net/33c2027fcdae809e/Documentos/el sena/"/>
    </mc:Choice>
  </mc:AlternateContent>
  <xr:revisionPtr revIDLastSave="301" documentId="8_{E4699687-AED6-430A-B0B3-33103FE62A45}" xr6:coauthVersionLast="47" xr6:coauthVersionMax="47" xr10:uidLastSave="{7722E871-5FE3-4B86-8F94-CD9F838E44E0}"/>
  <bookViews>
    <workbookView xWindow="-110" yWindow="-110" windowWidth="19420" windowHeight="10300" firstSheet="9" activeTab="9" xr2:uid="{00000000-000D-0000-FFFF-FFFF00000000}"/>
  </bookViews>
  <sheets>
    <sheet name="Torre admin" sheetId="1" r:id="rId1"/>
    <sheet name="Monitor Admin" sheetId="2" r:id="rId2"/>
    <sheet name="DiscoSolido Admin" sheetId="3" r:id="rId3"/>
    <sheet name="Disco duro interno Admin" sheetId="4" r:id="rId4"/>
    <sheet name="Servidor Admin" sheetId="5" r:id="rId5"/>
    <sheet name="ram Admin" sheetId="6" r:id="rId6"/>
    <sheet name="Teclado Admin" sheetId="7" r:id="rId7"/>
    <sheet name="Mause Admin" sheetId="8" r:id="rId8"/>
    <sheet name="Portatil Nosotros" sheetId="9" r:id="rId9"/>
    <sheet name="Monitor Nosotros" sheetId="10" r:id="rId10"/>
    <sheet name=" Disco mecanico Nosotros" sheetId="11" r:id="rId11"/>
    <sheet name=" ram nosotros" sheetId="12" r:id="rId12"/>
    <sheet name=" Servidor Nosotros" sheetId="13" r:id="rId13"/>
    <sheet name="Tarjeta de video nosotros" sheetId="14" r:id="rId14"/>
    <sheet name="Procesador Nosotros" sheetId="15" r:id="rId15"/>
    <sheet name="Teclado nosostros " sheetId="16" r:id="rId16"/>
    <sheet name="Muse nosotros" sheetId="17" r:id="rId17"/>
    <sheet name="software licencia" sheetId="18" r:id="rId18"/>
    <sheet name="licencia visual" sheetId="19" r:id="rId19"/>
    <sheet name="windows 11 licencia" sheetId="20" r:id="rId20"/>
    <sheet name="licencia SQL" sheetId="21"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5" roundtripDataChecksum="dple+E52BW4gQwl7jwml3EEemBchMV8NJM0dmOZrTAc="/>
    </ext>
  </extLst>
</workbook>
</file>

<file path=xl/calcChain.xml><?xml version="1.0" encoding="utf-8"?>
<calcChain xmlns="http://schemas.openxmlformats.org/spreadsheetml/2006/main">
  <c r="H9" i="5" l="1"/>
  <c r="G9" i="5"/>
  <c r="F9" i="5"/>
  <c r="F10" i="2"/>
  <c r="F9" i="2"/>
  <c r="F8" i="2"/>
  <c r="F8" i="3"/>
  <c r="F9" i="3"/>
  <c r="G9" i="3"/>
  <c r="F9" i="1"/>
  <c r="F8" i="1"/>
  <c r="F10" i="3"/>
  <c r="H10" i="8"/>
  <c r="G10" i="8"/>
  <c r="F10" i="9"/>
  <c r="G10" i="9"/>
  <c r="H10" i="9" s="1"/>
  <c r="G8" i="3"/>
  <c r="G9" i="2"/>
  <c r="H9" i="2"/>
  <c r="G9" i="1"/>
  <c r="J10" i="21" l="1"/>
  <c r="F10" i="21"/>
  <c r="G10" i="21" s="1"/>
  <c r="F9" i="21"/>
  <c r="G9" i="21" s="1"/>
  <c r="H9" i="21" s="1"/>
  <c r="D9" i="21"/>
  <c r="D10" i="21" s="1"/>
  <c r="F8" i="21"/>
  <c r="G8" i="21" s="1"/>
  <c r="H8" i="21" s="1"/>
  <c r="J10" i="20"/>
  <c r="F10" i="20"/>
  <c r="G10" i="20" s="1"/>
  <c r="H10" i="20" s="1"/>
  <c r="F9" i="20"/>
  <c r="G9" i="20" s="1"/>
  <c r="H9" i="20" s="1"/>
  <c r="D9" i="20"/>
  <c r="D10" i="20" s="1"/>
  <c r="F8" i="20"/>
  <c r="G8" i="20" s="1"/>
  <c r="H8" i="20" s="1"/>
  <c r="J10" i="19"/>
  <c r="G10" i="19"/>
  <c r="G9" i="19"/>
  <c r="D9" i="19"/>
  <c r="D10" i="19" s="1"/>
  <c r="G8" i="19"/>
  <c r="G11" i="18"/>
  <c r="J10" i="18"/>
  <c r="F10" i="18"/>
  <c r="G10" i="18" s="1"/>
  <c r="H10" i="18" s="1"/>
  <c r="F9" i="18"/>
  <c r="G9" i="18" s="1"/>
  <c r="H9" i="18" s="1"/>
  <c r="D9" i="18"/>
  <c r="D10" i="18" s="1"/>
  <c r="F8" i="18"/>
  <c r="G8" i="18" s="1"/>
  <c r="H8" i="18" s="1"/>
  <c r="J9" i="17"/>
  <c r="J10" i="17" s="1"/>
  <c r="G9" i="17"/>
  <c r="D9" i="17"/>
  <c r="D10" i="17" s="1"/>
  <c r="F8" i="17"/>
  <c r="G8" i="17" s="1"/>
  <c r="H8" i="17" s="1"/>
  <c r="F10" i="16"/>
  <c r="G10" i="16" s="1"/>
  <c r="H10" i="16" s="1"/>
  <c r="J9" i="16"/>
  <c r="J10" i="16" s="1"/>
  <c r="F9" i="16"/>
  <c r="G9" i="16" s="1"/>
  <c r="H9" i="16" s="1"/>
  <c r="D9" i="16"/>
  <c r="D10" i="16" s="1"/>
  <c r="F8" i="16"/>
  <c r="G8" i="16" s="1"/>
  <c r="H8" i="16" s="1"/>
  <c r="F10" i="15"/>
  <c r="G10" i="15" s="1"/>
  <c r="H10" i="15" s="1"/>
  <c r="J9" i="15"/>
  <c r="J10" i="15" s="1"/>
  <c r="F9" i="15"/>
  <c r="G9" i="15" s="1"/>
  <c r="H9" i="15" s="1"/>
  <c r="D9" i="15"/>
  <c r="D10" i="15" s="1"/>
  <c r="F8" i="15"/>
  <c r="G8" i="15" s="1"/>
  <c r="F10" i="14"/>
  <c r="G10" i="14" s="1"/>
  <c r="H10" i="14" s="1"/>
  <c r="D10" i="14"/>
  <c r="F9" i="14"/>
  <c r="G9" i="14" s="1"/>
  <c r="H9" i="14" s="1"/>
  <c r="F8" i="14"/>
  <c r="G8" i="14" s="1"/>
  <c r="H8" i="14" s="1"/>
  <c r="F10" i="13"/>
  <c r="G10" i="13" s="1"/>
  <c r="H10" i="13" s="1"/>
  <c r="I9" i="13"/>
  <c r="I10" i="13" s="1"/>
  <c r="F9" i="13"/>
  <c r="G9" i="13" s="1"/>
  <c r="H9" i="13" s="1"/>
  <c r="D10" i="13"/>
  <c r="F8" i="13"/>
  <c r="G8" i="13" s="1"/>
  <c r="H8" i="13" s="1"/>
  <c r="F10" i="12"/>
  <c r="G10" i="12" s="1"/>
  <c r="H10" i="12" s="1"/>
  <c r="F9" i="12"/>
  <c r="G9" i="12" s="1"/>
  <c r="H9" i="12" s="1"/>
  <c r="F8" i="12"/>
  <c r="G8" i="12" s="1"/>
  <c r="H8" i="12" s="1"/>
  <c r="F10" i="11"/>
  <c r="G10" i="11" s="1"/>
  <c r="H10" i="11" s="1"/>
  <c r="D10" i="11"/>
  <c r="F9" i="11"/>
  <c r="G9" i="11" s="1"/>
  <c r="H9" i="11" s="1"/>
  <c r="F8" i="11"/>
  <c r="G8" i="11" s="1"/>
  <c r="H8" i="11" s="1"/>
  <c r="F10" i="10"/>
  <c r="G10" i="10" s="1"/>
  <c r="H10" i="10" s="1"/>
  <c r="F9" i="10"/>
  <c r="G9" i="10" s="1"/>
  <c r="H9" i="10" s="1"/>
  <c r="F8" i="10"/>
  <c r="G8" i="10" s="1"/>
  <c r="H8" i="10" s="1"/>
  <c r="F9" i="9"/>
  <c r="G9" i="9" s="1"/>
  <c r="H9" i="9" s="1"/>
  <c r="F8" i="9"/>
  <c r="G8" i="9" s="1"/>
  <c r="H8" i="9" s="1"/>
  <c r="G9" i="8"/>
  <c r="F8" i="8"/>
  <c r="G8" i="8" s="1"/>
  <c r="H8" i="8" s="1"/>
  <c r="F10" i="7"/>
  <c r="G10" i="7" s="1"/>
  <c r="H10" i="7" s="1"/>
  <c r="F9" i="7"/>
  <c r="G9" i="7" s="1"/>
  <c r="H9" i="7" s="1"/>
  <c r="F8" i="7"/>
  <c r="G8" i="7" s="1"/>
  <c r="H8" i="7" s="1"/>
  <c r="F10" i="6"/>
  <c r="G10" i="6" s="1"/>
  <c r="H10" i="6" s="1"/>
  <c r="F9" i="6"/>
  <c r="G9" i="6" s="1"/>
  <c r="H9" i="6" s="1"/>
  <c r="F8" i="6"/>
  <c r="G8" i="6" s="1"/>
  <c r="H8" i="6" s="1"/>
  <c r="F10" i="5"/>
  <c r="G10" i="5" s="1"/>
  <c r="H10" i="5" s="1"/>
  <c r="I9" i="5"/>
  <c r="I10" i="5" s="1"/>
  <c r="F8" i="5"/>
  <c r="G8" i="5" s="1"/>
  <c r="H8" i="5" s="1"/>
  <c r="F10" i="4"/>
  <c r="G10" i="4" s="1"/>
  <c r="H10" i="4" s="1"/>
  <c r="F9" i="4"/>
  <c r="G9" i="4" s="1"/>
  <c r="H9" i="4" s="1"/>
  <c r="F8" i="4"/>
  <c r="G8" i="4" s="1"/>
  <c r="H8" i="4" s="1"/>
  <c r="G10" i="3"/>
  <c r="H10" i="3" s="1"/>
  <c r="I9" i="3"/>
  <c r="I10" i="3" s="1"/>
  <c r="H9" i="3"/>
  <c r="H8" i="3"/>
  <c r="G10" i="2"/>
  <c r="H10" i="2" s="1"/>
  <c r="G8" i="2"/>
  <c r="H8" i="2" s="1"/>
  <c r="G10" i="1"/>
  <c r="G8" i="1"/>
  <c r="H8" i="15" l="1"/>
</calcChain>
</file>

<file path=xl/sharedStrings.xml><?xml version="1.0" encoding="utf-8"?>
<sst xmlns="http://schemas.openxmlformats.org/spreadsheetml/2006/main" count="600" uniqueCount="189">
  <si>
    <t>CUADRO DE COTIZACIONES</t>
  </si>
  <si>
    <t xml:space="preserve">Cuadro Comparativo de Cotizaciones </t>
  </si>
  <si>
    <t xml:space="preserve">Presupuestos (a)
</t>
  </si>
  <si>
    <r>
      <rPr>
        <b/>
        <sz val="10"/>
        <color theme="1"/>
        <rFont val="Trebuchet MS"/>
        <family val="2"/>
      </rPr>
      <t>Empresa</t>
    </r>
    <r>
      <rPr>
        <i/>
        <sz val="8"/>
        <color theme="1"/>
        <rFont val="Trebuchet MS"/>
        <family val="2"/>
      </rPr>
      <t xml:space="preserve">
(Nombre fiscal de la empresa)</t>
    </r>
  </si>
  <si>
    <r>
      <rPr>
        <b/>
        <sz val="10"/>
        <color theme="1"/>
        <rFont val="Trebuchet MS"/>
        <family val="2"/>
      </rPr>
      <t>Nº de CUIT, Dirección, Teléfono</t>
    </r>
    <r>
      <rPr>
        <i/>
        <sz val="10"/>
        <color theme="1"/>
        <rFont val="Trebuchet MS"/>
        <family val="2"/>
      </rPr>
      <t xml:space="preserve">
</t>
    </r>
    <r>
      <rPr>
        <i/>
        <sz val="8"/>
        <color theme="1"/>
        <rFont val="Trebuchet MS"/>
        <family val="2"/>
      </rPr>
      <t>(Datos de la empresa)</t>
    </r>
  </si>
  <si>
    <r>
      <rPr>
        <b/>
        <sz val="10"/>
        <color theme="1"/>
        <rFont val="Trebuchet MS"/>
        <family val="2"/>
      </rPr>
      <t>Descripción del
bien/ servicio (b)</t>
    </r>
    <r>
      <rPr>
        <i/>
        <sz val="10"/>
        <color theme="1"/>
        <rFont val="Trebuchet MS"/>
        <family val="2"/>
      </rPr>
      <t xml:space="preserve">
</t>
    </r>
    <r>
      <rPr>
        <i/>
        <sz val="8"/>
        <color theme="1"/>
        <rFont val="Trebuchet MS"/>
        <family val="2"/>
      </rPr>
      <t>Características de los bienes/ servicios</t>
    </r>
  </si>
  <si>
    <r>
      <rPr>
        <b/>
        <sz val="10"/>
        <color theme="1"/>
        <rFont val="Trebuchet MS"/>
        <family val="2"/>
      </rPr>
      <t xml:space="preserve">Importe Unitario
</t>
    </r>
    <r>
      <rPr>
        <i/>
        <sz val="8"/>
        <color theme="1"/>
        <rFont val="Trebuchet MS"/>
        <family val="2"/>
      </rPr>
      <t>(moneda nacional)</t>
    </r>
  </si>
  <si>
    <r>
      <rPr>
        <b/>
        <u/>
        <sz val="10"/>
        <color theme="1"/>
        <rFont val="Trebuchet MS"/>
        <family val="2"/>
      </rPr>
      <t>Importe Total</t>
    </r>
    <r>
      <rPr>
        <b/>
        <u/>
        <sz val="10"/>
        <color theme="1"/>
        <rFont val="Trebuchet MS"/>
        <family val="2"/>
      </rPr>
      <t xml:space="preserve">
 IVA incluido
</t>
    </r>
    <r>
      <rPr>
        <i/>
        <u/>
        <sz val="8"/>
        <color theme="1"/>
        <rFont val="Trebuchet MS"/>
        <family val="2"/>
      </rPr>
      <t>(moneda nacional)</t>
    </r>
  </si>
  <si>
    <r>
      <rPr>
        <b/>
        <sz val="10"/>
        <color theme="1"/>
        <rFont val="Arial"/>
        <family val="2"/>
      </rPr>
      <t xml:space="preserve">Importe Total
</t>
    </r>
    <r>
      <rPr>
        <i/>
        <sz val="8"/>
        <color theme="1"/>
        <rFont val="Arial"/>
        <family val="2"/>
      </rPr>
      <t>(moneda extranjera)</t>
    </r>
  </si>
  <si>
    <t>Tipo de cambio</t>
  </si>
  <si>
    <r>
      <rPr>
        <b/>
        <sz val="10"/>
        <color theme="1"/>
        <rFont val="Trebuchet MS"/>
        <family val="2"/>
      </rPr>
      <t xml:space="preserve">Forma de Pago 
</t>
    </r>
    <r>
      <rPr>
        <i/>
        <sz val="8"/>
        <color theme="1"/>
        <rFont val="Trebuchet MS"/>
        <family val="2"/>
      </rPr>
      <t>(Contado o Cheque)</t>
    </r>
  </si>
  <si>
    <r>
      <rPr>
        <b/>
        <sz val="10"/>
        <color theme="1"/>
        <rFont val="Trebuchet MS"/>
        <family val="2"/>
      </rPr>
      <t xml:space="preserve">Observaciones </t>
    </r>
    <r>
      <rPr>
        <i/>
        <sz val="10"/>
        <color theme="1"/>
        <rFont val="Trebuchet MS"/>
        <family val="2"/>
      </rPr>
      <t xml:space="preserve">
</t>
    </r>
    <r>
      <rPr>
        <i/>
        <sz val="8"/>
        <color theme="1"/>
        <rFont val="Trebuchet MS"/>
        <family val="2"/>
      </rPr>
      <t>(se debe incluir toda aquella característica que no ha sido posible incluir anteriormente)</t>
    </r>
  </si>
  <si>
    <t>Nº 1</t>
  </si>
  <si>
    <t>Lenovo</t>
  </si>
  <si>
    <t>https://support.lenovo.com/co/es/</t>
  </si>
  <si>
    <t>Portátil Lenovo ThinkPad P1 Gen 6, Intel Core i7 13ª gen, 32 GB RAM DDR5, SSD 1 TB, NVIDIA RTX 4060, pantalla QHD+, Windows 11 Pro</t>
  </si>
  <si>
    <t xml:space="preserve">$4.195.900
</t>
  </si>
  <si>
    <t>contado</t>
  </si>
  <si>
    <t>Incluye garantía 3 años on-site</t>
  </si>
  <si>
    <t xml:space="preserve">Nº2 </t>
  </si>
  <si>
    <t>Media market</t>
  </si>
  <si>
    <t>https://www.mediamarkt.es/es/product/_pc-sobremesa-asus-s340mf-i797000080-intel%C2%AE-core%E2%84%A2-i7-9700-16-gb-512-gb-ssd-graphics-630-freedos-negro-1485288.html</t>
  </si>
  <si>
    <t>Portátil HP ZBook Fury G10, Intel Core i7 13ª gen, 32 GB RAM DDR5, SSD 1 TB, NVIDIA RTX A2000, pantalla QHD+, Windows 11 Pro</t>
  </si>
  <si>
    <t>Incluye software Adobe Photoshop de prueba</t>
  </si>
  <si>
    <t>Nº 3</t>
  </si>
  <si>
    <t>Asus store</t>
  </si>
  <si>
    <t>https://www.asusbymacman.es/asus-s300ma-710700006t-i7-10700-16gb-512gb-pc-sobremesa-2550.html</t>
  </si>
  <si>
    <t>Portátil ASUS ProArt Studiobook, Intel Core i7 13ª gen, 32 GB RAM DDR5, SSD 1 TB, NVIDIA RTX 4060, pantalla OLED 4K, Windows 11 Pro</t>
  </si>
  <si>
    <t>Pantalla OLED 100% AdobeRGB</t>
  </si>
  <si>
    <r>
      <rPr>
        <b/>
        <sz val="10"/>
        <color theme="1"/>
        <rFont val="Arial"/>
        <family val="2"/>
      </rPr>
      <t xml:space="preserve">(a) Se deben presentar tres (3) presupuestos cuando:   
   </t>
    </r>
    <r>
      <rPr>
        <sz val="10"/>
        <color theme="1"/>
        <rFont val="Arial"/>
        <family val="2"/>
      </rPr>
      <t>El valor del gasto supere el monto de pesos un mil ($ 1.000,00). 
     Se pueden presentar al menos tres (3)</t>
    </r>
    <r>
      <rPr>
        <sz val="10"/>
        <color theme="1"/>
        <rFont val="Arial"/>
        <family val="2"/>
      </rPr>
      <t xml:space="preserve"> solicitudes de cotización (del bien o servicio a contratar) cursadas</t>
    </r>
    <r>
      <rPr>
        <sz val="10"/>
        <color theme="1"/>
        <rFont val="Arial"/>
        <family val="2"/>
      </rPr>
      <t xml:space="preserve"> a tres o más empresas oferentes.
     L</t>
    </r>
    <r>
      <rPr>
        <sz val="10"/>
        <color theme="1"/>
        <rFont val="Arial"/>
        <family val="2"/>
      </rPr>
      <t xml:space="preserve">a selección del proveedor se hará con el criterio del más bajo precio.
     </t>
    </r>
    <r>
      <rPr>
        <b/>
        <sz val="10"/>
        <color theme="1"/>
        <rFont val="Arial"/>
        <family val="2"/>
      </rPr>
      <t>En caso de no contar con tres (3) presupuestos, o no poder seleccionar al proveedor que ofrece menor precio, presentar este cuadro una nota de justificación siguiendo las pautas del ítem    (XX)</t>
    </r>
    <r>
      <rPr>
        <sz val="10"/>
        <color theme="1"/>
        <rFont val="Arial"/>
        <family val="2"/>
      </rPr>
      <t xml:space="preserve">
</t>
    </r>
  </si>
  <si>
    <r>
      <rPr>
        <b/>
        <sz val="10"/>
        <color theme="1"/>
        <rFont val="Arial"/>
        <family val="2"/>
      </rPr>
      <t>(b) Ejemplos:</t>
    </r>
    <r>
      <rPr>
        <sz val="10"/>
        <color theme="1"/>
        <rFont val="Arial"/>
        <family val="2"/>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</si>
  <si>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Pc system (Dell)</t>
  </si>
  <si>
    <t>318 782 8302</t>
  </si>
  <si>
    <r>
      <rPr>
        <u/>
        <sz val="10"/>
        <color rgb="FF000000"/>
        <rFont val="Trebuchet MS"/>
      </rPr>
      <t xml:space="preserve"> </t>
    </r>
    <r>
      <rPr>
        <sz val="10"/>
        <color rgb="FF000000"/>
        <rFont val="Trebuchet MS"/>
      </rPr>
      <t>Perfecto para tareas de oficina como procesamiento de texto y hojas de cálculo.</t>
    </r>
  </si>
  <si>
    <t>Compatible con VGA y DisplayPort para adaptarse a diferentes sistemas.  El Monitor Dell de 18.5 pulgadas permite inclinar la pantalla para una mayor comodidad visual.uenta con botones de fácil acceso en el panel frontal para controlar el encendido, el brillo, el contraste y los modos preestablecidos.</t>
  </si>
  <si>
    <t>Monitor ThinkVision T22i-30 de 21,5"</t>
  </si>
  <si>
    <t>Pantalla FHD 21.5", IPS con backlight WLED, ratio 16:9 y resolución 1920x1080, plana y anti-reflejo
Tasa de refresco de 60Hz, brillo 250 cd/m², contraste 1000:1 y tiempos de respuesta: 4 ms (modo extremo), 6 ms (modo normal)
Pedestal TSLP (inclinación, giratorio, ajustable en altura y pivote)
Conectores 1x HDMI® 1.4, 1x DP 1.2, 1x VGA. Puertos USB: 4x USB 3.2 Gen 1, 1x USB-B 3.2 Gen 1</t>
  </si>
  <si>
    <t>HP</t>
  </si>
  <si>
    <t>https://www.hp.com/co-es/shop/monitores.html#</t>
  </si>
  <si>
    <t>Monitor FHD HP de la serie 5 de 31,5" - 532sf</t>
  </si>
  <si>
    <t xml:space="preserve">contado </t>
  </si>
  <si>
    <t>El monitor FHD HP de la serie 5 de 31,5" le ofrece la flexibilidad que necesita para disfrutar del entretenimiento con su diseño elegante, delgado y ligero, colores intensos, relación de contraste profunda y frecuencia de actualización más alta[1] para que la pantalla no se fragmente.</t>
  </si>
  <si>
    <t>Kington Technology</t>
  </si>
  <si>
    <t>01 800 9111044 (sin costo)</t>
  </si>
  <si>
    <t>Disco SSD externo XS1000</t>
  </si>
  <si>
    <t xml:space="preserve">
399.100</t>
  </si>
  <si>
    <t>Incluye cable USB-C a USB-A y adaptador USB-A a USB-C
USB 3.2 Gen 2
Velocidades de lectura de hasta 1.050 MB/s y de hasta 1.000 MB/s en escritura</t>
  </si>
  <si>
    <t xml:space="preserve">TECNOMARKET INK </t>
  </si>
  <si>
    <t>https://www.mercadolibre.com.co/pagina/tecnomarket.ink#client=HOME&amp;component_id=header_logo&amp;label=TECNOMARKET+INK&amp;tracking_id=fe142e93-e819-449e-af12-e79695a0d4f1&amp;global_position=1</t>
  </si>
  <si>
    <t>interno Adata Ultimate SU650 ASU650SS-120GT-R 120GB negro</t>
  </si>
  <si>
    <t>Adata, marca líder en tecnología y servicios de almacenamiento, presenta la línea Ultimate SU650. Esta unidad SSD ofrece una alta calidad de lectura y escritura de datos que permite potenciar y optimizar el rendimiento de tu PC. Con su gran resistencia podrás disfrutar de su funcionamiento silencioso.</t>
  </si>
  <si>
    <t>Alkomprar S.A.S.</t>
  </si>
  <si>
    <t>www.alkomprar.com</t>
  </si>
  <si>
    <t xml:space="preserve"> Unidad de Estado Sólido Kingston A400 480GB SATA III</t>
  </si>
  <si>
    <t xml:space="preserve"> Velocidad de lectura hasta 500 MB/s y escritura 450 MB/s, diseño compacto de 2,5 pulgadas, garantía limitada de 3 años.</t>
  </si>
  <si>
    <t>Western digital</t>
  </si>
  <si>
    <t>https://www.westerndigital.com/es-la/support/international-phone-numbers</t>
  </si>
  <si>
    <t>Disco para PC 1Tb Western Digital Blue Sata3 WD10EZEX</t>
  </si>
  <si>
    <t>0Aumente el almacenamiento de su PC con unidades WD Blue, la marca diseñada solo para computadoras de escritorio y PC todo en uno con una variedad de capacidades de almacenamiento.</t>
  </si>
  <si>
    <t xml:space="preserve">K tronix </t>
  </si>
  <si>
    <t>https://www.ktronix.com/contacto/c/contacto</t>
  </si>
  <si>
    <t>Unidad Estado Solido ADATA SU650 256GB</t>
  </si>
  <si>
    <t>Compumax S.A.S.</t>
  </si>
  <si>
    <t>www.compumax.com.co</t>
  </si>
  <si>
    <t>Unidad de Estado Sólido Crucial BX500 480GB SATA III</t>
  </si>
  <si>
    <t>Velocidad de lectura hasta 540 MB/s y escritura 500 MB/s, formato 2,5 pulgadas, garantía de 3 años.</t>
  </si>
  <si>
    <t>Hostinger</t>
  </si>
  <si>
    <t>https://www.hostinger.com/es/1</t>
  </si>
  <si>
    <t>Web hosting seguro y rápido como tiene que ser</t>
  </si>
  <si>
    <t>Precio por mensualidad. Todos los beneficios del plan Single, y además:
Dominio gratis por 1 año
Disfruta de tus sitios de WordPress sin ocuparte del mantenimiento
Administra sitios web más fácilmente con WordPress multisitio
Usa la línea de comandos de WordPress para obtener resultados inmediatos</t>
  </si>
  <si>
    <t>Godaddy</t>
  </si>
  <si>
    <t>https://www.godaddy.com/es</t>
  </si>
  <si>
    <t>Obtén hosting rápido y confiable con un SSL gratuito</t>
  </si>
  <si>
    <t>7.99</t>
  </si>
  <si>
    <t>plan por mensualidad  1 sitio web
10 GB de almacenamiento NVMe
Panel de control del hosting administrado para WordPress de GoDaddy
Dominio gratis*
Correo electrónico gratis
Certificado SSL gratis, sin cargos de renovación
Garantía de devolución de dinero por 30 días+
Seguridad del sitio incluida
Rendimiento hasta dos veces más rápido con CDN 7
WordPress preinstalado
Herramienta de creación de IA
Respaldos semanales
Actualizaciones automáticas del núcleo de software de WordPress
Herramienta de migración de WordPress</t>
  </si>
  <si>
    <t>Hostgator</t>
  </si>
  <si>
    <t>https://www.hostgator.co/web-hosting</t>
  </si>
  <si>
    <t>plan negocios</t>
  </si>
  <si>
    <t>plan mensual</t>
  </si>
  <si>
    <t>www.kingston.com / +1-714-435-2600</t>
  </si>
  <si>
    <t>DDR5 6400MT/s* Non-ECC Clocked Unbuffered SODIMM</t>
  </si>
  <si>
    <t>Código de artículo: KVR64V52BS6-8
8GB DDR5 6400MT/s Non-ECC Clocked Unbuffered SODIMM CL52 1Rx16 1.1V 262-pin 16Gbit</t>
  </si>
  <si>
    <t>Corsair</t>
  </si>
  <si>
    <t xml:space="preserve">www.corsair.com </t>
  </si>
  <si>
    <t>Kit de memoria DDR5 DRAM DOMINATOR TITANIUM RGB 32 GB (2 x 16 GB) 6.000 MT/s CL30 AMD EXPO — Grey</t>
  </si>
  <si>
    <t>HyperX</t>
  </si>
  <si>
    <t xml:space="preserve">www.hyperx.com </t>
  </si>
  <si>
    <t>Memoria RAM HyperX Impact SO-DIMM DDR4 2666MHz PC4-21300 16GB 2x8GB CL15</t>
  </si>
  <si>
    <t>Adelántate con la memoria DDR4 SODIMM de última generación. Equipa al máximo tu portátil u ordenador de formato pequeño con la memoria HyperX® Impact DDR4 SODIMM y reduce al mínimo el retraso del sistema. Compatible con Intel XMP en capacidades de hasta 64 GB, la memoria Plug &amp; Play HyperX Impact DDR4 hace overclocking automáticamente a la frecuencia más alta publicada (hasta 3200 MHz), para dar compatibilidad a las últimas tecnologías de CPU de Intel y AMD.</t>
  </si>
  <si>
    <t>Logitech</t>
  </si>
  <si>
    <t>www.logitech.com / +1-646-454-3200</t>
  </si>
  <si>
    <t>Teclado Inalámbrico Multimedia Logitech K270 Unifying</t>
  </si>
  <si>
    <t xml:space="preserve">Logitech K270 Teclado Inalámbrico Multimedia, Anti-Derrames
CONEXIÓN FÁCIL
Logitech® Unifying es un minúsculo receptor inalámbrico que puede permanecer conectado a su laptop y permite conectar dispositivos cuando se necesitan. Conéctelo. Olvídese de él. Agregue más.
UNA SOLA PULSACIÓN
Puede lograr más y más rápido con ocho botones de acceso rápido que permiten acceder al instante a música, correo electrónico y más.
CARGADO Y LISTO
Con la administración de energía inteligente, pasarán años antes de que tenga que cambiar las pilas.
</t>
  </si>
  <si>
    <t>www.hp.com</t>
  </si>
  <si>
    <t>Teclado y Mouse HP 150</t>
  </si>
  <si>
    <t>Teclado y Mouse Alámbrico HP 150
Conexión fácil, diseño delgado y ergonómico en el teclado, gran precisión con 1600DPI en el mouse, y las funciones de teclas necesarias para mantener tu productividad a tope</t>
  </si>
  <si>
    <t>Steren</t>
  </si>
  <si>
    <t>https://www.steren.com.co/</t>
  </si>
  <si>
    <t>Teclado USB</t>
  </si>
  <si>
    <t>Trabaja de manera cómoda, con este funcional teclado!
Plug &amp; Play: Solo tienes que conectarlo por USB a tu PC o portátil, para comenzar a utilizarlo. Es compatible con sistemas operativos Windows y Mac.
Teclas: Tiene 105 teclas alfanuméricas.
Ergonómico: Incorpora dos pestañas en la parte inferior para que ajustes su posición. Además, la longitud de 1,20 metros del cable permite que sea usado cómodamente.
Resistente: Está fabricado con plástico ABS de gran calidad que tiene acabado negro mate.</t>
  </si>
  <si>
    <r>
      <rPr>
        <b/>
        <sz val="10"/>
        <color theme="1"/>
        <rFont val="Arial"/>
        <family val="2"/>
      </rPr>
      <t xml:space="preserve">Importe Total
</t>
    </r>
    <r>
      <rPr>
        <b/>
        <i/>
        <sz val="8"/>
        <color theme="1"/>
        <rFont val="Arial"/>
        <family val="2"/>
      </rPr>
      <t>(moneda extranjera)</t>
    </r>
  </si>
  <si>
    <t>Mouse Trackball Inalámbrico Logitech Ergo M575s Ergonómico</t>
  </si>
  <si>
    <t>LOGITECH ERGO M575s, WIRELESS TRACKBALL, INALÁMBRICO DUAL
Trabaja cómodamente con el trackball inalámbrico Ergo M575S
Trabaja en tu zona de comodidad con el trackball inalámbrico Ergo M575S, certificado por ergónomos para mantener la mano y el antebrazo relajados, ahora con clics silenciosos.
Trabaja cómodamente en tu espacio</t>
  </si>
  <si>
    <t>innovapolar</t>
  </si>
  <si>
    <t>Mouse Recargable Silencioso Inalámbrico Ergonómico Negro</t>
  </si>
  <si>
    <t xml:space="preserve">	https://www.hp.com/co-es / Línea nacional: 01-800-518-9173</t>
  </si>
  <si>
    <t>Portátil HP 15-fd0021la, Intel Core i5, 8 GB RAM, 512 GB SSD, 15.6, HD Windows 11 Home</t>
  </si>
  <si>
    <t>Apple</t>
  </si>
  <si>
    <t xml:space="preserve">	https://www.apple.com/co / Atención al cliente: 01-800-044-5273</t>
  </si>
  <si>
    <t>Apple Macbook Air (13 pulgadas, 2020, Chip M1, 256 GB de SSD) - Gris espacial</t>
  </si>
  <si>
    <t>precio mercado libre</t>
  </si>
  <si>
    <t>Acer</t>
  </si>
  <si>
    <t xml:space="preserve"> 01-800-710-2237</t>
  </si>
  <si>
    <t>Portátil Gaming Acer Nitro R1yz R5 8gb 512gb Ssd Windows 11 Color Negro</t>
  </si>
  <si>
    <t xml:space="preserve">3.599.000
</t>
  </si>
  <si>
    <t>Procesador: AMD Ryzen 5 7535HS.
Versión del sistema operativo: 11.
Edición del sistema operativo: Home.
Nombre del sistema operativo: Windows.
Capacidad de disco SSD: 512 GB.
Capacidad total del módulo de memoria RAM: 8 GB.
Con pantalla táctil: No.
Resolución de la pantalla: 1920 px x 1080 px.
Con teclado retroiluminado.</t>
  </si>
  <si>
    <t xml:space="preserve"> Perfecto para tareas de oficina como procesamiento de texto y hojas de cálculo.</t>
  </si>
  <si>
    <t>https://www.hp.com/co-es/shop/monitores.html</t>
  </si>
  <si>
    <t>djlskadjaksjdlaksj</t>
  </si>
  <si>
    <t>https://www.amazon.com/</t>
  </si>
  <si>
    <t>Monitor LG 27UP600-W, 27", resolución 4K UHD (3840x2160), panel IPS, HDR10, 99% sRGB, conexión HDMI y DisplayPort, base ajustable.</t>
  </si>
  <si>
    <t>Monitor de buena resolución y color, apto para diseño, con precio más bajo que opciones profesionales de gama alta.</t>
  </si>
  <si>
    <t xml:space="preserve">M </t>
  </si>
  <si>
    <t>Systestore</t>
  </si>
  <si>
    <t>(314) 251 26 38</t>
  </si>
  <si>
    <t>Mercado libre</t>
  </si>
  <si>
    <t>https://speedlogic.com.co/tienda/memorias-ram/memoria-ram-para-pc-ddr4-32gb-3200-mhz-kingston-fury-beast-rgb/</t>
  </si>
  <si>
    <t>Memoria Ram Kingston Fury
 Beast  Rgb Ddr4 32gb 
3200mt/s  Cl16</t>
  </si>
  <si>
    <t xml:space="preserve">Technolohy Store </t>
  </si>
  <si>
    <t xml:space="preserve">
Cra. 15 #77-05 Local 1-20
316 2579295</t>
  </si>
  <si>
    <t>AMD</t>
  </si>
  <si>
    <t>Tarjeta Gráfica Para Computadora Gtx 550ti, 4 Gb, Gddr5, Tar</t>
  </si>
  <si>
    <t>Nvidia</t>
  </si>
  <si>
    <t>Tarjeta Gráfica Nvidea Geforce Gt 730 4gb Gddr3 Pci-e 3.0</t>
  </si>
  <si>
    <t>system technology</t>
  </si>
  <si>
    <t>Cra. 15 No. 78-33 Local 259 - C.C. Unilago, 2do piso - Bogotá, Colombia (+57) 312 660 6593 - (+57-1) 472 5850 - (+57-1) 616 1244 info@jesistem.com</t>
  </si>
  <si>
    <t xml:space="preserve">https://www.mercadolibre.com.co/procesador-gamer-amd-ryzen-7-7700x-100-100000591wof-de-8-nucleos-y-54ghz-de-frecuencia-con-grafica-integrada/p/MCO19711896?pdp_filters=category:MCO1693#searchVariation=MCO19711896&amp;position=1&amp;search_layout=stack&amp;type=product&amp;tracking_id=33d9ed9c-8c31-4747-8d81-cf6cb1856781
</t>
  </si>
  <si>
    <t xml:space="preserve">Procesador gamer AMD Ryzen 7 7700X 100-100000591WOF de 8 núcleos </t>
  </si>
  <si>
    <t>5.4GHz de frecuencia con gráfica integrada</t>
  </si>
  <si>
    <t xml:space="preserve"> Equimport1000</t>
  </si>
  <si>
    <t>Tel: (310) 7513965
equimport1000@hotmail.com</t>
  </si>
  <si>
    <t>Speed Logic</t>
  </si>
  <si>
    <t>Calle 38A Sur # 34D-51 Local LM09, Centro Comercial Centro Mayor, Barrio Villa Mayor
Bogotá D.C., Colombia
Código Postal 111811
Tel. +57 3042156143
centromayor@speedlogic.com.co</t>
  </si>
  <si>
    <t>https://www.mercadolibre.com.co/teclado-bluetooth-logitech-master-series-mx-keys-mini-qwerty-espanol-color-grafito-con-luz-blanca/p/MCO24526187?product_trigger_id=MCO18931563&amp;pdp_filters=item_id%3AMCO1333831287&amp;applied_product_filters=MCO18931563&amp;quantity=1</t>
  </si>
  <si>
    <t xml:space="preserve">Teclado bluetooth </t>
  </si>
  <si>
    <t>Logitech Master Series MX Keys Mini QWERTY 
español color grafito con luz blanca</t>
  </si>
  <si>
    <t xml:space="preserve"> Tauret</t>
  </si>
  <si>
    <t xml:space="preserve">318 5903409
Cra 14 # 79 - 02 
</t>
  </si>
  <si>
    <t>Panamericana</t>
  </si>
  <si>
    <t xml:space="preserve">(601) 364 9000
Calle 12 # 34 - 30, Bogotá D.C.
</t>
  </si>
  <si>
    <t xml:space="preserve"> </t>
  </si>
  <si>
    <t>Ubuy</t>
  </si>
  <si>
    <t>Street 94 #51B-43 Sixth Floor, Suite 
601, Atlantico, Barranquilla,Colombia</t>
  </si>
  <si>
    <t>Logitech M100 Ratón con
 Cable USB</t>
  </si>
  <si>
    <t xml:space="preserve">3 Botones, Seguimiento Óptimo 1000 DPI, Ambidestro, Compatible con PC, Mac, Portátil 
</t>
  </si>
  <si>
    <t>Media Markt</t>
  </si>
  <si>
    <t>900 101 161</t>
  </si>
  <si>
    <t>12,99€</t>
  </si>
  <si>
    <t>54.169,116</t>
  </si>
  <si>
    <t xml:space="preserve">Octo 24 </t>
  </si>
  <si>
    <t>910-005003</t>
  </si>
  <si>
    <t xml:space="preserve"> 33,54 €</t>
  </si>
  <si>
    <t>33,54 €</t>
  </si>
  <si>
    <t>139.659,37</t>
  </si>
  <si>
    <t>ahorrosoft</t>
  </si>
  <si>
    <t>https://ahorrosoft.com/office-2021-professional-plus-1-pc/</t>
  </si>
  <si>
    <t>office 2021 profesional plus 1 pc</t>
  </si>
  <si>
    <t>latin keys</t>
  </si>
  <si>
    <t>https://latinkeys.com/colombia/producto/office-2021-profesional-plus-bind-1pc/</t>
  </si>
  <si>
    <t>Software colonbia</t>
  </si>
  <si>
    <t>https://softwarecolombia1.com/products/licencia-office-2021-profesional-plus-1pc</t>
  </si>
  <si>
    <t>Digital licence</t>
  </si>
  <si>
    <t xml:space="preserve">https://digital-licence.com/es/producto/licencia-visual-studio-2022-enterprise/
</t>
  </si>
  <si>
    <t>Licencia Visual Studio 2022 Enterprise</t>
  </si>
  <si>
    <t>Keys express</t>
  </si>
  <si>
    <t>bienvenido@keys.express</t>
  </si>
  <si>
    <t>Zentinels</t>
  </si>
  <si>
    <t>info@zentinels.net</t>
  </si>
  <si>
    <t>lasus</t>
  </si>
  <si>
    <t xml:space="preserve">Licencia Windows 11 Pro ESD Vitalicia
</t>
  </si>
  <si>
    <t xml:space="preserve"> Colombia pc</t>
  </si>
  <si>
    <t>(305) 3676372</t>
  </si>
  <si>
    <t>Tu licencia</t>
  </si>
  <si>
    <t>Cra 10 # 17-55 Torre central local 115
311 684 4142
305 763 6779</t>
  </si>
  <si>
    <t>Lasus</t>
  </si>
  <si>
    <t>Licencia de dispositivo SQL Server 2022 - 1 CAL</t>
  </si>
  <si>
    <t xml:space="preserve"> Garcia comunicaciones </t>
  </si>
  <si>
    <t>Wiresoft</t>
  </si>
  <si>
    <t>34 91 0601749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</si>
</sst>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0\ &quot;€&quot;;[Red]\-#,##0\ &quot;€&quot;"/>
    <numFmt numFmtId="164" formatCode="#,##0\ [$€-1];[Red]\-#,##0\ [$€-1]"/>
    <numFmt numFmtId="165" formatCode="&quot;$&quot;#,##0.00"/>
    <numFmt numFmtId="166" formatCode="#,##0&quot;€&quot;"/>
    <numFmt numFmtId="167" formatCode="_-[$€-2]\ * #,##0.00_-;\-[$€-2]\ * #,##0.00_-;_-[$€-2]\ * &quot;-&quot;??_-;_-@"/>
  </numFmts>
  <fonts count="37">
    <font>
      <sz val="10"/>
      <color rgb="FF000000"/>
      <name val="Arial"/>
      <scheme val="minor"/>
    </font>
    <font>
      <sz val="10"/>
      <color theme="1"/>
      <name val="Arial"/>
      <family val="2"/>
    </font>
    <font>
      <b/>
      <sz val="12"/>
      <color theme="1"/>
      <name val="Arial"/>
      <family val="2"/>
    </font>
    <font>
      <sz val="10"/>
      <name val="Arial"/>
      <family val="2"/>
    </font>
    <font>
      <b/>
      <sz val="10"/>
      <color theme="1"/>
      <name val="Arial"/>
      <family val="2"/>
    </font>
    <font>
      <b/>
      <sz val="10"/>
      <color theme="1"/>
      <name val="Trebuchet MS"/>
      <family val="2"/>
    </font>
    <font>
      <b/>
      <u/>
      <sz val="10"/>
      <color theme="1"/>
      <name val="Trebuchet MS"/>
      <family val="2"/>
    </font>
    <font>
      <i/>
      <sz val="10"/>
      <color theme="1"/>
      <name val="Arial"/>
      <family val="2"/>
    </font>
    <font>
      <sz val="10"/>
      <color theme="1"/>
      <name val="Trebuchet MS"/>
      <family val="2"/>
    </font>
    <font>
      <u/>
      <sz val="10"/>
      <color rgb="FF000000"/>
      <name val="Trebuchet MS"/>
      <family val="2"/>
    </font>
    <font>
      <u/>
      <sz val="10"/>
      <color theme="1"/>
      <name val="Trebuchet MS"/>
      <family val="2"/>
    </font>
    <font>
      <sz val="10"/>
      <color rgb="FF000000"/>
      <name val="Arial"/>
      <family val="2"/>
    </font>
    <font>
      <sz val="10"/>
      <color rgb="FF231F20"/>
      <name val="Trebuchet MS"/>
      <family val="2"/>
    </font>
    <font>
      <u/>
      <sz val="10"/>
      <color theme="10"/>
      <name val="Arial"/>
      <family val="2"/>
    </font>
    <font>
      <sz val="12"/>
      <color rgb="FF333333"/>
      <name val="Arial"/>
      <family val="2"/>
    </font>
    <font>
      <sz val="10"/>
      <color theme="1"/>
      <name val="Arial Narrow"/>
      <family val="2"/>
    </font>
    <font>
      <u/>
      <sz val="10"/>
      <color rgb="FF0000FF"/>
      <name val="Trebuchet MS"/>
      <family val="2"/>
    </font>
    <font>
      <sz val="10"/>
      <color rgb="FF000000"/>
      <name val="Trebuchet MS"/>
      <family val="2"/>
    </font>
    <font>
      <sz val="12"/>
      <color theme="1"/>
      <name val="Trebuchet MS"/>
      <family val="2"/>
    </font>
    <font>
      <u/>
      <sz val="10"/>
      <color rgb="FF0000FF"/>
      <name val="Arial"/>
      <family val="2"/>
    </font>
    <font>
      <u/>
      <sz val="10"/>
      <color rgb="FF000000"/>
      <name val="Arial"/>
      <family val="2"/>
    </font>
    <font>
      <sz val="11"/>
      <color rgb="FF000000"/>
      <name val="Arial"/>
      <family val="2"/>
    </font>
    <font>
      <sz val="10"/>
      <color theme="1"/>
      <name val="Arial"/>
      <family val="2"/>
      <scheme val="minor"/>
    </font>
    <font>
      <sz val="11"/>
      <color rgb="FF000000"/>
      <name val="Aptos Narrow"/>
    </font>
    <font>
      <b/>
      <sz val="11"/>
      <color rgb="FF777777"/>
      <name val="Roboto"/>
    </font>
    <font>
      <sz val="11"/>
      <color rgb="FF000000"/>
      <name val="Roboto"/>
    </font>
    <font>
      <i/>
      <sz val="8"/>
      <color theme="1"/>
      <name val="Trebuchet MS"/>
      <family val="2"/>
    </font>
    <font>
      <i/>
      <sz val="10"/>
      <color theme="1"/>
      <name val="Trebuchet MS"/>
      <family val="2"/>
    </font>
    <font>
      <i/>
      <u/>
      <sz val="8"/>
      <color theme="1"/>
      <name val="Trebuchet MS"/>
      <family val="2"/>
    </font>
    <font>
      <i/>
      <sz val="8"/>
      <color theme="1"/>
      <name val="Arial"/>
      <family val="2"/>
    </font>
    <font>
      <b/>
      <i/>
      <sz val="8"/>
      <color theme="1"/>
      <name val="Arial"/>
      <family val="2"/>
    </font>
    <font>
      <sz val="7"/>
      <color rgb="FF1C61E7"/>
      <name val="Arial"/>
      <family val="2"/>
      <scheme val="minor"/>
    </font>
    <font>
      <u/>
      <sz val="10"/>
      <color theme="10"/>
      <name val="Arial"/>
      <scheme val="minor"/>
    </font>
    <font>
      <sz val="10"/>
      <color rgb="FF000000"/>
      <name val="Trebuchet MS"/>
    </font>
    <font>
      <u/>
      <sz val="10"/>
      <color rgb="FF000000"/>
      <name val="Trebuchet MS"/>
    </font>
    <font>
      <sz val="9"/>
      <color rgb="FF000000"/>
      <name val="Trebuchet MS"/>
      <family val="2"/>
    </font>
    <font>
      <sz val="8"/>
      <color rgb="FF000000"/>
      <name val="Trebuchet MS"/>
      <family val="2"/>
    </font>
  </fonts>
  <fills count="8">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s>
  <borders count="8">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32" fillId="0" borderId="0" applyNumberFormat="0" applyFill="0" applyBorder="0" applyAlignment="0" applyProtection="0"/>
  </cellStyleXfs>
  <cellXfs count="99">
    <xf numFmtId="0" fontId="0" fillId="0" borderId="0" xfId="0"/>
    <xf numFmtId="0" fontId="1" fillId="0" borderId="0" xfId="0" applyFont="1"/>
    <xf numFmtId="0" fontId="4"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4"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0" xfId="0" applyFont="1" applyAlignment="1">
      <alignment horizontal="center" vertical="center"/>
    </xf>
    <xf numFmtId="0" fontId="4" fillId="0" borderId="3" xfId="0" applyFont="1" applyBorder="1" applyAlignment="1">
      <alignment horizontal="center" vertical="center"/>
    </xf>
    <xf numFmtId="0" fontId="8" fillId="0" borderId="3" xfId="0" applyFont="1" applyBorder="1" applyAlignment="1">
      <alignment horizontal="center" vertical="top" wrapText="1"/>
    </xf>
    <xf numFmtId="0" fontId="9" fillId="0" borderId="0" xfId="0" applyFont="1" applyAlignment="1">
      <alignment horizontal="center" vertical="top" wrapText="1"/>
    </xf>
    <xf numFmtId="2" fontId="8" fillId="0" borderId="3" xfId="0" applyNumberFormat="1" applyFont="1" applyBorder="1" applyAlignment="1">
      <alignment horizontal="center" vertical="top" wrapText="1"/>
    </xf>
    <xf numFmtId="3" fontId="8" fillId="0" borderId="3" xfId="0" applyNumberFormat="1" applyFont="1" applyBorder="1" applyAlignment="1">
      <alignment horizontal="center" vertical="top" wrapText="1"/>
    </xf>
    <xf numFmtId="2" fontId="10" fillId="0" borderId="3" xfId="0" applyNumberFormat="1" applyFont="1" applyBorder="1" applyAlignment="1">
      <alignment horizontal="center" vertical="top" wrapText="1"/>
    </xf>
    <xf numFmtId="0" fontId="12" fillId="0" borderId="0" xfId="0" applyFont="1" applyAlignment="1">
      <alignment horizontal="center" vertical="top"/>
    </xf>
    <xf numFmtId="0" fontId="8" fillId="0" borderId="2" xfId="0" applyFont="1" applyBorder="1" applyAlignment="1">
      <alignment horizontal="center" vertical="top" wrapText="1"/>
    </xf>
    <xf numFmtId="164" fontId="14" fillId="0" borderId="0" xfId="0" applyNumberFormat="1" applyFont="1"/>
    <xf numFmtId="4" fontId="8" fillId="0" borderId="3" xfId="0" applyNumberFormat="1" applyFont="1" applyBorder="1" applyAlignment="1">
      <alignment horizontal="center" vertical="top" wrapText="1"/>
    </xf>
    <xf numFmtId="0" fontId="1" fillId="0" borderId="3" xfId="0" applyFont="1" applyBorder="1"/>
    <xf numFmtId="0" fontId="8" fillId="0" borderId="3" xfId="0" applyFont="1" applyBorder="1" applyAlignment="1">
      <alignment horizontal="left" vertical="top" wrapText="1"/>
    </xf>
    <xf numFmtId="0" fontId="15" fillId="0" borderId="0" xfId="0" applyFont="1" applyAlignment="1">
      <alignment horizontal="center" vertical="center" wrapText="1"/>
    </xf>
    <xf numFmtId="0" fontId="16" fillId="0" borderId="3" xfId="0" applyFont="1" applyBorder="1" applyAlignment="1">
      <alignment horizontal="center" vertical="top" wrapText="1"/>
    </xf>
    <xf numFmtId="0" fontId="18" fillId="0" borderId="3" xfId="0" applyFont="1" applyBorder="1" applyAlignment="1">
      <alignment horizontal="center" vertical="top" wrapText="1"/>
    </xf>
    <xf numFmtId="0" fontId="17" fillId="0" borderId="3" xfId="0" applyFont="1" applyBorder="1" applyAlignment="1">
      <alignment horizontal="center" vertical="top" wrapText="1"/>
    </xf>
    <xf numFmtId="165" fontId="17" fillId="0" borderId="0" xfId="0" applyNumberFormat="1" applyFont="1" applyAlignment="1">
      <alignment horizontal="center" vertical="top"/>
    </xf>
    <xf numFmtId="2" fontId="17" fillId="0" borderId="3" xfId="0" applyNumberFormat="1" applyFont="1" applyBorder="1" applyAlignment="1">
      <alignment horizontal="center" vertical="top" wrapText="1"/>
    </xf>
    <xf numFmtId="3" fontId="17" fillId="0" borderId="3" xfId="0" applyNumberFormat="1" applyFont="1" applyBorder="1" applyAlignment="1">
      <alignment horizontal="center" vertical="top" wrapText="1"/>
    </xf>
    <xf numFmtId="0" fontId="17" fillId="0" borderId="3" xfId="0" applyFont="1" applyBorder="1" applyAlignment="1">
      <alignment horizontal="center" vertical="top"/>
    </xf>
    <xf numFmtId="0" fontId="17" fillId="0" borderId="0" xfId="0" applyFont="1" applyAlignment="1">
      <alignment horizontal="center" vertical="top" wrapText="1"/>
    </xf>
    <xf numFmtId="165" fontId="17" fillId="0" borderId="3" xfId="0" applyNumberFormat="1" applyFont="1" applyBorder="1" applyAlignment="1">
      <alignment horizontal="center" vertical="top"/>
    </xf>
    <xf numFmtId="3" fontId="17" fillId="0" borderId="3" xfId="0" applyNumberFormat="1" applyFont="1" applyBorder="1" applyAlignment="1">
      <alignment horizontal="center" vertical="top"/>
    </xf>
    <xf numFmtId="3" fontId="17" fillId="0" borderId="0" xfId="0" applyNumberFormat="1" applyFont="1" applyAlignment="1">
      <alignment horizontal="center" vertical="top"/>
    </xf>
    <xf numFmtId="0" fontId="12" fillId="0" borderId="3" xfId="0" applyFont="1" applyBorder="1" applyAlignment="1">
      <alignment vertical="top" wrapText="1"/>
    </xf>
    <xf numFmtId="0" fontId="19" fillId="0" borderId="0" xfId="0" applyFont="1"/>
    <xf numFmtId="6" fontId="8" fillId="0" borderId="3" xfId="0" applyNumberFormat="1" applyFont="1" applyBorder="1" applyAlignment="1">
      <alignment horizontal="center" vertical="top" wrapText="1"/>
    </xf>
    <xf numFmtId="9" fontId="8" fillId="0" borderId="3" xfId="0" applyNumberFormat="1" applyFont="1" applyBorder="1" applyAlignment="1">
      <alignment horizontal="center" vertical="top" wrapText="1"/>
    </xf>
    <xf numFmtId="0" fontId="20" fillId="0" borderId="3" xfId="0" applyFont="1" applyBorder="1" applyAlignment="1">
      <alignment horizontal="center" vertical="top" wrapText="1"/>
    </xf>
    <xf numFmtId="0" fontId="12" fillId="0" borderId="0" xfId="0" applyFont="1" applyAlignment="1">
      <alignment vertical="top"/>
    </xf>
    <xf numFmtId="0" fontId="12" fillId="0" borderId="3" xfId="0" applyFont="1" applyBorder="1" applyAlignment="1">
      <alignment vertical="top"/>
    </xf>
    <xf numFmtId="0" fontId="11" fillId="0" borderId="0" xfId="0" applyFont="1" applyAlignment="1">
      <alignment horizontal="center" vertical="top"/>
    </xf>
    <xf numFmtId="0" fontId="22" fillId="0" borderId="0" xfId="0" applyFont="1"/>
    <xf numFmtId="166" fontId="8" fillId="0" borderId="3" xfId="0" applyNumberFormat="1" applyFont="1" applyBorder="1" applyAlignment="1">
      <alignment horizontal="center" vertical="top" wrapText="1"/>
    </xf>
    <xf numFmtId="167" fontId="23" fillId="0" borderId="0" xfId="0" applyNumberFormat="1" applyFont="1"/>
    <xf numFmtId="0" fontId="24" fillId="7" borderId="3" xfId="0" applyFont="1" applyFill="1" applyBorder="1" applyAlignment="1">
      <alignment horizontal="left"/>
    </xf>
    <xf numFmtId="0" fontId="25" fillId="0" borderId="3" xfId="0" applyFont="1" applyBorder="1" applyAlignment="1">
      <alignment horizontal="center" vertical="top"/>
    </xf>
    <xf numFmtId="0" fontId="0" fillId="0" borderId="0" xfId="0"/>
    <xf numFmtId="3" fontId="0" fillId="0" borderId="0" xfId="0" applyNumberFormat="1"/>
    <xf numFmtId="3" fontId="5" fillId="0" borderId="3" xfId="0" applyNumberFormat="1" applyFont="1" applyBorder="1" applyAlignment="1">
      <alignment horizontal="center" vertical="center" wrapText="1"/>
    </xf>
    <xf numFmtId="3" fontId="8" fillId="0" borderId="3" xfId="0" applyNumberFormat="1" applyFont="1" applyBorder="1" applyAlignment="1">
      <alignment horizontal="left" vertical="top" wrapText="1"/>
    </xf>
    <xf numFmtId="3" fontId="15" fillId="0" borderId="0" xfId="0" applyNumberFormat="1" applyFont="1" applyAlignment="1">
      <alignment horizontal="center" vertical="center" wrapText="1"/>
    </xf>
    <xf numFmtId="0" fontId="11" fillId="0" borderId="0" xfId="0" applyFont="1" applyAlignment="1">
      <alignment wrapText="1"/>
    </xf>
    <xf numFmtId="0" fontId="32" fillId="6" borderId="5" xfId="1" applyFill="1" applyBorder="1"/>
    <xf numFmtId="0" fontId="31" fillId="0" borderId="3" xfId="0" applyFont="1" applyBorder="1" applyAlignment="1">
      <alignment vertical="center"/>
    </xf>
    <xf numFmtId="0" fontId="8" fillId="0" borderId="4" xfId="0" applyFont="1" applyBorder="1" applyAlignment="1">
      <alignment horizontal="center" vertical="top" wrapText="1"/>
    </xf>
    <xf numFmtId="0" fontId="9" fillId="0" borderId="5" xfId="0" applyFont="1" applyBorder="1" applyAlignment="1">
      <alignment horizontal="left" vertical="top" wrapText="1"/>
    </xf>
    <xf numFmtId="0" fontId="5" fillId="0" borderId="6" xfId="0" applyFont="1" applyBorder="1" applyAlignment="1">
      <alignment horizontal="center" vertical="center" wrapText="1"/>
    </xf>
    <xf numFmtId="0" fontId="32" fillId="0" borderId="3" xfId="1" applyBorder="1" applyAlignment="1">
      <alignment horizontal="center" vertical="top" wrapText="1"/>
    </xf>
    <xf numFmtId="0" fontId="12" fillId="0" borderId="5" xfId="0" applyFont="1" applyBorder="1" applyAlignment="1">
      <alignment vertical="top" wrapText="1"/>
    </xf>
    <xf numFmtId="3" fontId="8" fillId="0" borderId="2" xfId="0" applyNumberFormat="1" applyFont="1" applyBorder="1" applyAlignment="1">
      <alignment horizontal="center" vertical="top" wrapText="1"/>
    </xf>
    <xf numFmtId="0" fontId="13" fillId="0" borderId="0" xfId="0" applyFont="1"/>
    <xf numFmtId="0" fontId="9" fillId="0" borderId="3" xfId="0" applyFont="1" applyBorder="1" applyAlignment="1">
      <alignment horizontal="center" vertical="top" wrapText="1"/>
    </xf>
    <xf numFmtId="0" fontId="16" fillId="0" borderId="3" xfId="0" applyFont="1" applyBorder="1" applyAlignment="1">
      <alignment horizontal="left" vertical="top" wrapText="1"/>
    </xf>
    <xf numFmtId="0" fontId="9" fillId="0" borderId="3" xfId="0" applyFont="1" applyBorder="1" applyAlignment="1">
      <alignment horizontal="left" vertical="top" wrapText="1"/>
    </xf>
    <xf numFmtId="0" fontId="13" fillId="0" borderId="3" xfId="0" applyFont="1" applyBorder="1" applyAlignment="1">
      <alignment horizontal="center" vertical="top" wrapText="1"/>
    </xf>
    <xf numFmtId="0" fontId="10" fillId="0" borderId="3" xfId="0" applyFont="1" applyBorder="1" applyAlignment="1">
      <alignment horizontal="center" vertical="top" wrapText="1"/>
    </xf>
    <xf numFmtId="0" fontId="8" fillId="0" borderId="7" xfId="0" applyFont="1" applyBorder="1" applyAlignment="1">
      <alignment horizontal="center" vertical="top" wrapText="1"/>
    </xf>
    <xf numFmtId="0" fontId="8" fillId="0" borderId="4" xfId="0" applyFont="1" applyBorder="1" applyAlignment="1">
      <alignment horizontal="center" vertical="top"/>
    </xf>
    <xf numFmtId="0" fontId="32" fillId="0" borderId="3" xfId="1" applyBorder="1" applyAlignment="1">
      <alignment horizontal="left" vertical="top" wrapText="1"/>
    </xf>
    <xf numFmtId="0" fontId="32" fillId="0" borderId="0" xfId="1" applyAlignment="1">
      <alignment wrapText="1"/>
    </xf>
    <xf numFmtId="0" fontId="33" fillId="0" borderId="0" xfId="0" applyFont="1" applyAlignment="1">
      <alignment horizontal="left" vertical="top" wrapText="1"/>
    </xf>
    <xf numFmtId="0" fontId="32" fillId="0" borderId="3" xfId="1" applyBorder="1" applyAlignment="1">
      <alignment wrapText="1"/>
    </xf>
    <xf numFmtId="0" fontId="21" fillId="0" borderId="3" xfId="0" applyFont="1" applyBorder="1" applyAlignment="1">
      <alignment horizontal="center" vertical="top"/>
    </xf>
    <xf numFmtId="0" fontId="4" fillId="0" borderId="4" xfId="0" applyFont="1" applyBorder="1" applyAlignment="1">
      <alignment horizontal="center" vertical="center"/>
    </xf>
    <xf numFmtId="0" fontId="16" fillId="0" borderId="2" xfId="0" applyFont="1" applyBorder="1" applyAlignment="1">
      <alignment horizontal="center" vertical="top" wrapText="1"/>
    </xf>
    <xf numFmtId="0" fontId="12" fillId="0" borderId="5" xfId="0" applyFont="1" applyBorder="1" applyAlignment="1">
      <alignment horizontal="center" vertical="top"/>
    </xf>
    <xf numFmtId="0" fontId="11" fillId="0" borderId="3" xfId="0" applyFont="1" applyBorder="1" applyAlignment="1">
      <alignment wrapText="1"/>
    </xf>
    <xf numFmtId="0" fontId="0" fillId="0" borderId="5" xfId="0" applyBorder="1"/>
    <xf numFmtId="0" fontId="0" fillId="0" borderId="0" xfId="0" applyAlignment="1">
      <alignment wrapText="1"/>
    </xf>
    <xf numFmtId="0" fontId="8" fillId="0" borderId="6" xfId="0" applyFont="1" applyBorder="1" applyAlignment="1">
      <alignment horizontal="center" vertical="top" wrapText="1"/>
    </xf>
    <xf numFmtId="0" fontId="8" fillId="0" borderId="7" xfId="0" applyFont="1" applyBorder="1" applyAlignment="1">
      <alignment horizontal="left" vertical="top" wrapText="1"/>
    </xf>
    <xf numFmtId="0" fontId="32" fillId="6" borderId="5" xfId="1" applyFill="1" applyBorder="1" applyAlignment="1">
      <alignment wrapText="1"/>
    </xf>
    <xf numFmtId="0" fontId="0" fillId="0" borderId="4" xfId="0" applyBorder="1"/>
    <xf numFmtId="0" fontId="32" fillId="0" borderId="6" xfId="1" applyBorder="1" applyAlignment="1">
      <alignment horizontal="center" vertical="top" wrapText="1"/>
    </xf>
    <xf numFmtId="0" fontId="32" fillId="0" borderId="4" xfId="1" applyBorder="1"/>
    <xf numFmtId="2" fontId="8" fillId="0" borderId="2" xfId="0" applyNumberFormat="1" applyFont="1" applyBorder="1" applyAlignment="1">
      <alignment horizontal="center" vertical="top" wrapText="1"/>
    </xf>
    <xf numFmtId="3" fontId="8" fillId="0" borderId="6" xfId="0" applyNumberFormat="1" applyFont="1" applyBorder="1" applyAlignment="1">
      <alignment horizontal="center" vertical="top" wrapText="1"/>
    </xf>
    <xf numFmtId="0" fontId="0" fillId="0" borderId="4" xfId="1" applyFont="1" applyBorder="1" applyAlignment="1">
      <alignment horizontal="center" vertical="center" wrapText="1"/>
    </xf>
    <xf numFmtId="3" fontId="0" fillId="0" borderId="3" xfId="0" applyNumberFormat="1" applyBorder="1" applyAlignment="1">
      <alignment horizontal="center" vertical="top" wrapText="1"/>
    </xf>
    <xf numFmtId="0" fontId="35" fillId="0" borderId="3" xfId="0" applyFont="1" applyBorder="1" applyAlignment="1">
      <alignment horizontal="center" vertical="top" wrapText="1"/>
    </xf>
    <xf numFmtId="0" fontId="32" fillId="0" borderId="3" xfId="1" applyBorder="1" applyAlignment="1">
      <alignment horizontal="center" vertical="center" wrapText="1"/>
    </xf>
    <xf numFmtId="0" fontId="36" fillId="0" borderId="3" xfId="0" applyFont="1" applyBorder="1" applyAlignment="1">
      <alignment horizontal="center" vertical="top" wrapText="1"/>
    </xf>
    <xf numFmtId="0" fontId="2" fillId="0" borderId="0" xfId="0" applyFont="1" applyAlignment="1">
      <alignment horizontal="center" vertical="center"/>
    </xf>
    <xf numFmtId="0" fontId="0" fillId="0" borderId="0" xfId="0" applyAlignment="1"/>
    <xf numFmtId="0" fontId="2" fillId="2" borderId="4" xfId="0" applyFont="1" applyFill="1" applyBorder="1" applyAlignment="1">
      <alignment horizontal="center" vertical="center" wrapText="1"/>
    </xf>
    <xf numFmtId="0" fontId="3" fillId="0" borderId="1" xfId="0" applyFont="1" applyBorder="1" applyAlignment="1"/>
    <xf numFmtId="0" fontId="3" fillId="0" borderId="2" xfId="0" applyFont="1" applyBorder="1" applyAlignment="1"/>
    <xf numFmtId="0" fontId="4" fillId="0" borderId="4" xfId="0" applyFont="1" applyBorder="1" applyAlignment="1">
      <alignment horizontal="left" vertical="center" wrapText="1"/>
    </xf>
    <xf numFmtId="0" fontId="2" fillId="0" borderId="4" xfId="0" applyFont="1" applyBorder="1" applyAlignment="1">
      <alignment horizontal="center" vertical="center" wrapText="1"/>
    </xf>
    <xf numFmtId="0" fontId="0" fillId="0" borderId="3" xfId="0" applyBorder="1"/>
    <xf numFmtId="0" fontId="32" fillId="0" borderId="2" xfId="1" applyBorder="1" applyAlignment="1">
      <alignment horizontal="center" vertical="top"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upport.lenovo.com/co/es/" TargetMode="External"/><Relationship Id="rId2" Type="http://schemas.openxmlformats.org/officeDocument/2006/relationships/hyperlink" Target="https://www.mediamarkt.es/es/product/_pc-sobremesa-asus-s340mf-i797000080-intel%C2%AE-core%E2%84%A2-i7-9700-16-gb-512-gb-ssd-graphics-630-freedos-negro-1485288.html" TargetMode="External"/><Relationship Id="rId1" Type="http://schemas.openxmlformats.org/officeDocument/2006/relationships/hyperlink" Target="https://www.asusbymacman.es/asus-s300ma-710700006t-i7-10700-16gb-512gb-pc-sobremesa-2550.htm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ww.hp.com/co-es/shop/monitores.html" TargetMode="External"/><Relationship Id="rId1" Type="http://schemas.openxmlformats.org/officeDocument/2006/relationships/hyperlink" Target="https://support.lenovo.com/co/e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alkomprar.com" TargetMode="External"/><Relationship Id="rId1" Type="http://schemas.openxmlformats.org/officeDocument/2006/relationships/hyperlink" Target="https://www.mercadolibre.com.co/pagina/tecnomarket.in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ompumax.com.co" TargetMode="External"/><Relationship Id="rId2" Type="http://schemas.openxmlformats.org/officeDocument/2006/relationships/hyperlink" Target="https://www.ktronix.com/contacto/c/contacto" TargetMode="External"/><Relationship Id="rId1" Type="http://schemas.openxmlformats.org/officeDocument/2006/relationships/hyperlink" Target="https://www.westerndigital.com/es-la/support/international-phone-numbe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hostinger.com/es/1" TargetMode="External"/><Relationship Id="rId2" Type="http://schemas.openxmlformats.org/officeDocument/2006/relationships/hyperlink" Target="https://www.godaddy.com/es" TargetMode="External"/><Relationship Id="rId1" Type="http://schemas.openxmlformats.org/officeDocument/2006/relationships/hyperlink" Target="https://www.hostgator.co/web-hosting"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hyperx.com" TargetMode="External"/><Relationship Id="rId1" Type="http://schemas.openxmlformats.org/officeDocument/2006/relationships/hyperlink" Target="https://www.corsair.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teren.com.co/"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amazon.com/" TargetMode="External"/><Relationship Id="rId1" Type="http://schemas.openxmlformats.org/officeDocument/2006/relationships/hyperlink" Target="https://www.hp.com/co-es/shop/monitores.htm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speedlogic.com.co/tienda/memorias-ram/memoria-ram-para-pc-ddr4-32gb-3200-mhz-kingston-fury-beast-rgb/"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procesador-gamer-amd-ryzen-7-7700x-100-100000591wof-de-8-nucleos-y-54ghz-de-frecuencia-con-grafica-integrada/p/MCO19711896?pdp_filters=category:MCO1693"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ercadolibre.com.co/teclado-bluetooth-logitech-master-series-mx-keys-mini-qwerty-espanol-color-grafito-con-luz-blanca/p/MCO24526187?product_trigger_id=MCO18931563&amp;pdp_filters=item_id%3AMCO1333831287&amp;applied_product_filters=MCO18931563&amp;quantity=1"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softwarecolombia1.com/products/licencia-office-2021-profesional-plus-1pc" TargetMode="External"/><Relationship Id="rId2" Type="http://schemas.openxmlformats.org/officeDocument/2006/relationships/hyperlink" Target="https://latinkeys.com/colombia/producto/office-2021-profesional-plus-bind-1pc/" TargetMode="External"/><Relationship Id="rId1" Type="http://schemas.openxmlformats.org/officeDocument/2006/relationships/hyperlink" Target="https://ahorrosoft.com/office-2021-professional-plus-1-pc/"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info@zentinel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 zoomScale="79" workbookViewId="0">
      <selection activeCell="E10" sqref="E10"/>
    </sheetView>
  </sheetViews>
  <sheetFormatPr defaultColWidth="12.5703125" defaultRowHeight="15" customHeight="1"/>
  <cols>
    <col min="1" max="3" width="19.140625" customWidth="1"/>
    <col min="4" max="4" width="21.85546875" customWidth="1"/>
    <col min="5" max="5" width="17" style="45" customWidth="1"/>
    <col min="6" max="6" width="17" customWidth="1"/>
    <col min="7" max="7" width="18" customWidth="1"/>
    <col min="8" max="8" width="17" customWidth="1"/>
    <col min="9" max="9" width="19.140625" customWidth="1"/>
    <col min="10" max="10" width="45.28515625" customWidth="1"/>
    <col min="11" max="26" width="10" customWidth="1"/>
  </cols>
  <sheetData>
    <row r="1" spans="1:26" ht="12.75" customHeight="1">
      <c r="A1" s="1"/>
      <c r="B1" s="44"/>
      <c r="C1" s="44"/>
      <c r="D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46" t="s">
        <v>6</v>
      </c>
      <c r="F7" s="4" t="s">
        <v>7</v>
      </c>
      <c r="G7" s="5" t="s">
        <v>8</v>
      </c>
      <c r="H7" s="3" t="s">
        <v>9</v>
      </c>
      <c r="I7" s="3" t="s">
        <v>10</v>
      </c>
      <c r="J7" s="54" t="s">
        <v>11</v>
      </c>
      <c r="K7" s="6"/>
      <c r="L7" s="6"/>
      <c r="M7" s="6"/>
      <c r="N7" s="6"/>
      <c r="O7" s="6"/>
      <c r="P7" s="6"/>
      <c r="Q7" s="6"/>
      <c r="R7" s="6"/>
      <c r="S7" s="6"/>
      <c r="T7" s="6"/>
      <c r="U7" s="6"/>
      <c r="V7" s="6"/>
      <c r="W7" s="6"/>
      <c r="X7" s="6"/>
      <c r="Y7" s="6"/>
      <c r="Z7" s="6"/>
    </row>
    <row r="8" spans="1:26" ht="50.25" customHeight="1">
      <c r="A8" s="7" t="s">
        <v>12</v>
      </c>
      <c r="B8" s="8" t="s">
        <v>13</v>
      </c>
      <c r="C8" s="67" t="s">
        <v>14</v>
      </c>
      <c r="D8" s="68" t="s">
        <v>15</v>
      </c>
      <c r="E8" s="11" t="s">
        <v>16</v>
      </c>
      <c r="F8" s="10" t="str">
        <f>E8</f>
        <v xml:space="preserve">$4.195.900
</v>
      </c>
      <c r="G8" s="11" t="str">
        <f>E8</f>
        <v xml:space="preserve">$4.195.900
</v>
      </c>
      <c r="H8" s="12"/>
      <c r="I8" s="52" t="s">
        <v>17</v>
      </c>
      <c r="J8" s="74" t="s">
        <v>18</v>
      </c>
      <c r="K8" s="75"/>
      <c r="L8" s="44"/>
      <c r="M8" s="44"/>
      <c r="N8" s="44"/>
      <c r="O8" s="44"/>
      <c r="P8" s="44"/>
      <c r="Q8" s="44"/>
      <c r="R8" s="44"/>
      <c r="S8" s="44"/>
      <c r="T8" s="44"/>
      <c r="U8" s="44"/>
      <c r="V8" s="44"/>
      <c r="W8" s="44"/>
      <c r="X8" s="44"/>
      <c r="Y8" s="44"/>
      <c r="Z8" s="44"/>
    </row>
    <row r="9" spans="1:26" ht="50.25" customHeight="1">
      <c r="A9" s="7" t="s">
        <v>19</v>
      </c>
      <c r="B9" s="13" t="s">
        <v>20</v>
      </c>
      <c r="C9" s="69" t="s">
        <v>21</v>
      </c>
      <c r="D9" s="14" t="s">
        <v>22</v>
      </c>
      <c r="E9" s="11">
        <v>3671037</v>
      </c>
      <c r="F9" s="15">
        <f>E9</f>
        <v>3671037</v>
      </c>
      <c r="G9" s="11">
        <f t="shared" ref="F9:G9" si="0">F9</f>
        <v>3671037</v>
      </c>
      <c r="H9" s="10"/>
      <c r="I9" s="8" t="s">
        <v>17</v>
      </c>
      <c r="J9" s="44" t="s">
        <v>23</v>
      </c>
      <c r="K9" s="44"/>
      <c r="L9" s="44"/>
      <c r="M9" s="44"/>
      <c r="N9" s="44"/>
      <c r="O9" s="44"/>
      <c r="P9" s="44"/>
      <c r="Q9" s="44"/>
      <c r="R9" s="44"/>
      <c r="S9" s="44"/>
      <c r="T9" s="44"/>
      <c r="U9" s="44"/>
      <c r="V9" s="44"/>
      <c r="W9" s="44"/>
      <c r="X9" s="44"/>
      <c r="Y9" s="44"/>
      <c r="Z9" s="44"/>
    </row>
    <row r="10" spans="1:26" ht="50.25" customHeight="1">
      <c r="A10" s="7" t="s">
        <v>24</v>
      </c>
      <c r="B10" s="8" t="s">
        <v>25</v>
      </c>
      <c r="C10" s="58" t="s">
        <v>26</v>
      </c>
      <c r="D10" s="8" t="s">
        <v>27</v>
      </c>
      <c r="E10" s="11">
        <v>4377912</v>
      </c>
      <c r="F10" s="10">
        <v>0</v>
      </c>
      <c r="G10" s="16">
        <f>E10</f>
        <v>4377912</v>
      </c>
      <c r="H10" s="10"/>
      <c r="I10" s="8" t="s">
        <v>17</v>
      </c>
      <c r="J10" s="44" t="s">
        <v>28</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47"/>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F17" s="44"/>
      <c r="G17" s="44"/>
    </row>
    <row r="18" spans="4:7" ht="12.75" customHeight="1">
      <c r="D18" s="44"/>
      <c r="F18" s="44"/>
      <c r="G18" s="44"/>
    </row>
    <row r="19" spans="4:7" ht="12.75" customHeight="1">
      <c r="D19" s="44"/>
      <c r="F19" s="44"/>
      <c r="G19" s="44"/>
    </row>
    <row r="20" spans="4:7" ht="12.75" customHeight="1">
      <c r="D20" s="44"/>
      <c r="F20" s="44"/>
      <c r="G20" s="44"/>
    </row>
    <row r="21" spans="4:7" ht="12.75" customHeight="1">
      <c r="D21" s="44"/>
      <c r="F21" s="44"/>
      <c r="G21" s="44"/>
    </row>
    <row r="22" spans="4:7" ht="12.75" customHeight="1">
      <c r="D22" s="44"/>
      <c r="F22" s="44"/>
      <c r="G22" s="44"/>
    </row>
    <row r="23" spans="4:7" ht="12.75" customHeight="1">
      <c r="D23" s="44"/>
      <c r="F23" s="44"/>
      <c r="G23" s="44"/>
    </row>
    <row r="24" spans="4:7" ht="12.75" customHeight="1">
      <c r="D24" s="44"/>
      <c r="F24" s="44"/>
      <c r="G24" s="44"/>
    </row>
    <row r="25" spans="4:7" ht="12.75" customHeight="1">
      <c r="D25" s="44"/>
      <c r="F25" s="44"/>
      <c r="G25" s="44"/>
    </row>
    <row r="26" spans="4:7" ht="12.75" customHeight="1">
      <c r="D26" s="19"/>
      <c r="E26" s="48"/>
      <c r="F26" s="1"/>
      <c r="G26" s="1"/>
    </row>
    <row r="27" spans="4:7" ht="12.75" customHeight="1">
      <c r="D27" s="44"/>
      <c r="F27" s="44"/>
      <c r="G27" s="44"/>
    </row>
    <row r="28" spans="4:7" ht="12.75" customHeight="1">
      <c r="D28" s="44"/>
      <c r="F28" s="44"/>
      <c r="G28" s="44"/>
    </row>
    <row r="29" spans="4:7" ht="12.75" customHeight="1">
      <c r="D29" s="44"/>
      <c r="F29" s="44"/>
      <c r="G29" s="44"/>
    </row>
    <row r="30" spans="4:7" ht="12.75" customHeight="1">
      <c r="D30" s="44"/>
      <c r="F30" s="44"/>
      <c r="G30" s="44"/>
    </row>
    <row r="31" spans="4:7" ht="12.75" customHeight="1">
      <c r="D31" s="44"/>
      <c r="F31" s="44"/>
      <c r="G31" s="44"/>
    </row>
    <row r="32" spans="4:7" ht="12.75" customHeight="1">
      <c r="D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00000000-0004-0000-0000-000001000000}"/>
    <hyperlink ref="C9" r:id="rId2" xr:uid="{00000000-0004-0000-0000-000000000000}"/>
    <hyperlink ref="C8" r:id="rId3" xr:uid="{EEC6A303-6176-4395-8679-E040E595C32D}"/>
  </hyperlinks>
  <pageMargins left="0.7" right="0.7" top="0.75" bottom="0.75" header="0" footer="0"/>
  <pageSetup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 zoomScale="80" workbookViewId="0">
      <selection activeCell="A13" sqref="A13:J13"/>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19.140625" customWidth="1"/>
    <col min="10" max="10" width="42.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54"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76.5" customHeight="1">
      <c r="A8" s="7" t="s">
        <v>12</v>
      </c>
      <c r="B8" s="52" t="s">
        <v>31</v>
      </c>
      <c r="C8" s="51" t="s">
        <v>32</v>
      </c>
      <c r="D8" s="53" t="s">
        <v>33</v>
      </c>
      <c r="E8" s="11">
        <v>329990</v>
      </c>
      <c r="F8" s="10">
        <f>E8*19%</f>
        <v>62698.1</v>
      </c>
      <c r="G8" s="11">
        <f t="shared" ref="G8:G9" si="0">E8+F8</f>
        <v>392688.1</v>
      </c>
      <c r="H8" s="10">
        <f t="shared" ref="H8:H9" si="1">G8</f>
        <v>392688.1</v>
      </c>
      <c r="I8" s="8" t="s">
        <v>17</v>
      </c>
      <c r="J8" s="49" t="s">
        <v>34</v>
      </c>
      <c r="K8" s="44"/>
      <c r="L8" s="44"/>
      <c r="M8" s="44"/>
      <c r="N8" s="44"/>
      <c r="O8" s="44"/>
      <c r="P8" s="44"/>
      <c r="Q8" s="44"/>
      <c r="R8" s="44"/>
      <c r="S8" s="44"/>
      <c r="T8" s="44"/>
      <c r="U8" s="44"/>
      <c r="V8" s="44"/>
      <c r="W8" s="44"/>
      <c r="X8" s="44"/>
      <c r="Y8" s="44"/>
      <c r="Z8" s="44"/>
    </row>
    <row r="9" spans="1:26" ht="50.25" customHeight="1">
      <c r="A9" s="7" t="s">
        <v>19</v>
      </c>
      <c r="B9" s="8" t="s">
        <v>13</v>
      </c>
      <c r="C9" s="50" t="s">
        <v>14</v>
      </c>
      <c r="D9" s="18" t="s">
        <v>35</v>
      </c>
      <c r="E9" s="11">
        <v>702900</v>
      </c>
      <c r="F9" s="10">
        <f>E9*19%</f>
        <v>133551</v>
      </c>
      <c r="G9" s="11">
        <f>E9+F9</f>
        <v>836451</v>
      </c>
      <c r="H9" s="10">
        <f>G9</f>
        <v>836451</v>
      </c>
      <c r="I9" s="8" t="s">
        <v>17</v>
      </c>
      <c r="J9" s="18" t="s">
        <v>36</v>
      </c>
      <c r="K9" s="44"/>
      <c r="L9" s="44"/>
      <c r="M9" s="44"/>
      <c r="N9" s="44"/>
      <c r="O9" s="44"/>
      <c r="P9" s="44"/>
      <c r="Q9" s="44"/>
      <c r="R9" s="44"/>
      <c r="S9" s="44"/>
      <c r="T9" s="44"/>
      <c r="U9" s="44"/>
      <c r="V9" s="44"/>
      <c r="W9" s="44"/>
      <c r="X9" s="44"/>
      <c r="Y9" s="44"/>
      <c r="Z9" s="44"/>
    </row>
    <row r="10" spans="1:26" ht="50.25" customHeight="1">
      <c r="A10" s="7" t="s">
        <v>24</v>
      </c>
      <c r="B10" s="21" t="s">
        <v>37</v>
      </c>
      <c r="C10" s="55" t="s">
        <v>38</v>
      </c>
      <c r="D10" s="18" t="s">
        <v>39</v>
      </c>
      <c r="E10" s="11">
        <v>939900</v>
      </c>
      <c r="F10" s="10">
        <f>E10*19%</f>
        <v>178581</v>
      </c>
      <c r="G10" s="16">
        <f t="shared" ref="G10:H10" si="2">F10</f>
        <v>178581</v>
      </c>
      <c r="H10" s="10">
        <f t="shared" si="2"/>
        <v>178581</v>
      </c>
      <c r="I10" s="8" t="s">
        <v>40</v>
      </c>
      <c r="J10" s="18" t="s">
        <v>41</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9" r:id="rId1" xr:uid="{10127AA0-7F65-4035-80D2-CAAB984C98E9}"/>
    <hyperlink ref="C10" r:id="rId2" xr:uid="{5D966EA5-3B8C-4F3D-A90F-317334397FC7}"/>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 zoomScale="71" workbookViewId="0">
      <selection activeCell="E10" sqref="E10"/>
    </sheetView>
  </sheetViews>
  <sheetFormatPr defaultColWidth="12.5703125" defaultRowHeight="15" customHeight="1"/>
  <cols>
    <col min="1" max="3" width="19.140625" customWidth="1"/>
    <col min="4" max="4" width="27.42578125" customWidth="1"/>
    <col min="5" max="6" width="17" customWidth="1"/>
    <col min="7" max="7" width="18" customWidth="1"/>
    <col min="8" max="8" width="17" customWidth="1"/>
    <col min="9" max="9" width="19.140625" customWidth="1"/>
    <col min="10" max="10" width="27.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42</v>
      </c>
      <c r="C8" s="20" t="s">
        <v>43</v>
      </c>
      <c r="D8" s="73" t="s">
        <v>44</v>
      </c>
      <c r="E8" s="8" t="s">
        <v>45</v>
      </c>
      <c r="F8" s="10" t="e">
        <f>E8*19%</f>
        <v>#VALUE!</v>
      </c>
      <c r="G8" s="11" t="e">
        <f>E8+F8</f>
        <v>#VALUE!</v>
      </c>
      <c r="H8" s="10" t="e">
        <f>G8</f>
        <v>#VALUE!</v>
      </c>
      <c r="I8" s="8" t="s">
        <v>17</v>
      </c>
      <c r="J8" s="8" t="s">
        <v>46</v>
      </c>
      <c r="K8" s="44"/>
      <c r="L8" s="44"/>
      <c r="M8" s="44"/>
      <c r="N8" s="44"/>
      <c r="O8" s="44"/>
      <c r="P8" s="44"/>
      <c r="Q8" s="44"/>
      <c r="R8" s="44"/>
      <c r="S8" s="44"/>
      <c r="T8" s="44"/>
      <c r="U8" s="44"/>
      <c r="V8" s="44"/>
      <c r="W8" s="44"/>
      <c r="X8" s="44"/>
      <c r="Y8" s="44"/>
      <c r="Z8" s="44"/>
    </row>
    <row r="9" spans="1:26" ht="50.25" customHeight="1">
      <c r="A9" s="7" t="s">
        <v>19</v>
      </c>
      <c r="B9" s="73" t="s">
        <v>47</v>
      </c>
      <c r="C9" s="81" t="s">
        <v>48</v>
      </c>
      <c r="D9" s="77" t="s">
        <v>49</v>
      </c>
      <c r="E9" s="84">
        <v>70000</v>
      </c>
      <c r="F9" s="10">
        <f>E9*19%</f>
        <v>13300</v>
      </c>
      <c r="G9" s="11">
        <f>E9+F9</f>
        <v>83300</v>
      </c>
      <c r="H9" s="10">
        <f>G9</f>
        <v>83300</v>
      </c>
      <c r="I9" s="8" t="str">
        <f>I8</f>
        <v>contado</v>
      </c>
      <c r="J9" s="8" t="s">
        <v>50</v>
      </c>
      <c r="K9" s="44"/>
      <c r="L9" s="44"/>
      <c r="M9" s="44"/>
      <c r="N9" s="44"/>
      <c r="O9" s="44"/>
      <c r="P9" s="44"/>
      <c r="Q9" s="44"/>
      <c r="R9" s="44"/>
      <c r="S9" s="44"/>
      <c r="T9" s="44"/>
      <c r="U9" s="44"/>
      <c r="V9" s="44"/>
      <c r="W9" s="44"/>
      <c r="X9" s="44"/>
      <c r="Y9" s="44"/>
      <c r="Z9" s="44"/>
    </row>
    <row r="10" spans="1:26" ht="50.25" customHeight="1">
      <c r="A10" s="71" t="s">
        <v>24</v>
      </c>
      <c r="B10" s="80" t="s">
        <v>51</v>
      </c>
      <c r="C10" s="82" t="s">
        <v>52</v>
      </c>
      <c r="D10" s="85" t="s">
        <v>53</v>
      </c>
      <c r="E10" s="86">
        <v>179900</v>
      </c>
      <c r="F10" s="83">
        <f>E10*19%</f>
        <v>34181</v>
      </c>
      <c r="G10" s="16">
        <f>E10+F10</f>
        <v>214081</v>
      </c>
      <c r="H10" s="10">
        <f>G10</f>
        <v>214081</v>
      </c>
      <c r="I10" s="8" t="str">
        <f>I9</f>
        <v>contado</v>
      </c>
      <c r="J10" s="87" t="s">
        <v>54</v>
      </c>
      <c r="K10" s="44"/>
      <c r="L10" s="44"/>
      <c r="M10" s="44"/>
      <c r="N10" s="44"/>
      <c r="O10" s="44"/>
      <c r="P10" s="44"/>
      <c r="Q10" s="44"/>
      <c r="R10" s="44"/>
      <c r="S10" s="44"/>
      <c r="T10" s="44"/>
      <c r="U10" s="44"/>
      <c r="V10" s="44"/>
      <c r="W10" s="44"/>
      <c r="X10" s="44"/>
      <c r="Y10" s="44"/>
      <c r="Z10" s="44"/>
    </row>
    <row r="11" spans="1:26" ht="15" hidden="1" customHeight="1">
      <c r="A11" s="17"/>
      <c r="B11" s="78"/>
      <c r="C11" s="78"/>
      <c r="D11" s="78"/>
      <c r="E11" s="7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9" r:id="rId1" location="client=HOME&amp;component_id=header_logo&amp;label=TECNOMARKET+INK&amp;tracking_id=fe142e93-e819-449e-af12-e79695a0d4f1&amp;global_position=1" xr:uid="{4CF036D1-38EA-4544-91F7-5BDBA0072E84}"/>
    <hyperlink ref="C10" r:id="rId2" xr:uid="{98CC3FDA-34C5-45F4-8B15-ADA83738299A}"/>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7" zoomScale="79" workbookViewId="0">
      <selection activeCell="E10" sqref="E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22" t="s">
        <v>55</v>
      </c>
      <c r="C8" s="55" t="s">
        <v>56</v>
      </c>
      <c r="D8" s="22" t="s">
        <v>57</v>
      </c>
      <c r="E8" s="23">
        <v>200000</v>
      </c>
      <c r="F8" s="24">
        <f t="shared" ref="F8:F9" si="0">E8*19%</f>
        <v>38000</v>
      </c>
      <c r="G8" s="25">
        <f t="shared" ref="G8:G9" si="1">E8+F8</f>
        <v>238000</v>
      </c>
      <c r="H8" s="24">
        <f t="shared" ref="H8:H9" si="2">G8</f>
        <v>238000</v>
      </c>
      <c r="I8" s="22" t="s">
        <v>17</v>
      </c>
      <c r="J8" s="8" t="s">
        <v>58</v>
      </c>
      <c r="K8" s="44"/>
      <c r="L8" s="44"/>
      <c r="M8" s="44"/>
      <c r="N8" s="44"/>
      <c r="O8" s="44"/>
      <c r="P8" s="44"/>
      <c r="Q8" s="44"/>
      <c r="R8" s="44"/>
      <c r="S8" s="44"/>
      <c r="T8" s="44"/>
      <c r="U8" s="44"/>
      <c r="V8" s="44"/>
      <c r="W8" s="44"/>
      <c r="X8" s="44"/>
      <c r="Y8" s="44"/>
      <c r="Z8" s="44"/>
    </row>
    <row r="9" spans="1:26" ht="50.25" customHeight="1">
      <c r="A9" s="7" t="s">
        <v>19</v>
      </c>
      <c r="B9" s="26" t="s">
        <v>59</v>
      </c>
      <c r="C9" s="55" t="s">
        <v>60</v>
      </c>
      <c r="D9" s="27" t="s">
        <v>61</v>
      </c>
      <c r="E9" s="28">
        <v>90000</v>
      </c>
      <c r="F9" s="24">
        <f t="shared" si="0"/>
        <v>17100</v>
      </c>
      <c r="G9" s="25">
        <f t="shared" si="1"/>
        <v>107100</v>
      </c>
      <c r="H9" s="24">
        <f t="shared" si="2"/>
        <v>107100</v>
      </c>
      <c r="I9" s="22" t="s">
        <v>17</v>
      </c>
      <c r="J9" s="18"/>
      <c r="K9" s="44"/>
      <c r="L9" s="44"/>
      <c r="M9" s="44"/>
      <c r="N9" s="44"/>
      <c r="O9" s="44"/>
      <c r="P9" s="44"/>
      <c r="Q9" s="44"/>
      <c r="R9" s="44"/>
      <c r="S9" s="44"/>
      <c r="T9" s="44"/>
      <c r="U9" s="44"/>
      <c r="V9" s="44"/>
      <c r="W9" s="44"/>
      <c r="X9" s="44"/>
      <c r="Y9" s="44"/>
      <c r="Z9" s="44"/>
    </row>
    <row r="10" spans="1:26" ht="50.25" customHeight="1">
      <c r="A10" s="7" t="s">
        <v>24</v>
      </c>
      <c r="B10" s="26" t="s">
        <v>62</v>
      </c>
      <c r="C10" s="88" t="s">
        <v>63</v>
      </c>
      <c r="D10" s="22" t="s">
        <v>64</v>
      </c>
      <c r="E10" s="29">
        <v>185000</v>
      </c>
      <c r="F10" s="24">
        <f t="shared" ref="F10:H10" si="3">E10</f>
        <v>185000</v>
      </c>
      <c r="G10" s="25">
        <f t="shared" si="3"/>
        <v>185000</v>
      </c>
      <c r="H10" s="24">
        <f t="shared" si="3"/>
        <v>185000</v>
      </c>
      <c r="I10" s="22" t="s">
        <v>17</v>
      </c>
      <c r="J10" s="89" t="s">
        <v>65</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F2423C38-9C44-4BAB-9E7F-2F82C69CDC21}"/>
    <hyperlink ref="C9" r:id="rId2" xr:uid="{6D41F714-89FB-4440-B2A7-63ED748976B3}"/>
    <hyperlink ref="C10" r:id="rId3" xr:uid="{0B230759-8BA5-473D-B033-346223D74953}"/>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7" zoomScale="84" workbookViewId="0">
      <selection activeCell="B8" sqref="B8:E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66</v>
      </c>
      <c r="C8" s="55" t="s">
        <v>67</v>
      </c>
      <c r="D8" s="8" t="s">
        <v>68</v>
      </c>
      <c r="E8" s="11">
        <v>8900</v>
      </c>
      <c r="F8" s="10">
        <f t="shared" ref="F8:F10" si="0">E8*19%</f>
        <v>1691</v>
      </c>
      <c r="G8" s="11">
        <f>F8+E8</f>
        <v>10591</v>
      </c>
      <c r="H8" s="10">
        <f t="shared" ref="H8:H10" si="1">G8</f>
        <v>10591</v>
      </c>
      <c r="I8" s="8" t="s">
        <v>17</v>
      </c>
      <c r="J8" s="8" t="s">
        <v>69</v>
      </c>
      <c r="K8" s="44"/>
      <c r="L8" s="44"/>
      <c r="M8" s="44"/>
      <c r="N8" s="44"/>
      <c r="O8" s="44"/>
      <c r="P8" s="44"/>
      <c r="Q8" s="44"/>
      <c r="R8" s="44"/>
      <c r="S8" s="44"/>
      <c r="T8" s="44"/>
      <c r="U8" s="44"/>
      <c r="V8" s="44"/>
      <c r="W8" s="44"/>
      <c r="X8" s="44"/>
      <c r="Y8" s="44"/>
      <c r="Z8" s="44"/>
    </row>
    <row r="9" spans="1:26" ht="50.25" customHeight="1">
      <c r="A9" s="7" t="s">
        <v>19</v>
      </c>
      <c r="B9" s="13" t="s">
        <v>70</v>
      </c>
      <c r="C9" s="55" t="s">
        <v>71</v>
      </c>
      <c r="D9" s="8" t="s">
        <v>72</v>
      </c>
      <c r="E9" s="30" t="s">
        <v>73</v>
      </c>
      <c r="F9" s="10" t="e">
        <f>E9*19%</f>
        <v>#VALUE!</v>
      </c>
      <c r="G9" s="11" t="e">
        <f>E9+F9</f>
        <v>#VALUE!</v>
      </c>
      <c r="H9" s="10" t="e">
        <f>E9*4036.81</f>
        <v>#VALUE!</v>
      </c>
      <c r="I9" s="8" t="str">
        <f t="shared" ref="I9:I10" si="2">I8</f>
        <v>contado</v>
      </c>
      <c r="J9" s="18" t="s">
        <v>74</v>
      </c>
      <c r="K9" s="44"/>
      <c r="L9" s="44"/>
      <c r="M9" s="44"/>
      <c r="N9" s="44"/>
      <c r="O9" s="44"/>
      <c r="P9" s="44"/>
      <c r="Q9" s="44"/>
      <c r="R9" s="44"/>
      <c r="S9" s="44"/>
      <c r="T9" s="44"/>
      <c r="U9" s="44"/>
      <c r="V9" s="44"/>
      <c r="W9" s="44"/>
      <c r="X9" s="44"/>
      <c r="Y9" s="44"/>
      <c r="Z9" s="44"/>
    </row>
    <row r="10" spans="1:26" ht="50.25" customHeight="1">
      <c r="A10" s="7" t="s">
        <v>24</v>
      </c>
      <c r="B10" s="8" t="s">
        <v>75</v>
      </c>
      <c r="C10" s="55" t="s">
        <v>76</v>
      </c>
      <c r="D10" s="8" t="s">
        <v>77</v>
      </c>
      <c r="E10" s="11">
        <v>13850</v>
      </c>
      <c r="F10" s="10">
        <f t="shared" si="0"/>
        <v>2631.5</v>
      </c>
      <c r="G10" s="16">
        <f>F10+E10</f>
        <v>16481.5</v>
      </c>
      <c r="H10" s="10">
        <f t="shared" si="1"/>
        <v>16481.5</v>
      </c>
      <c r="I10" s="8" t="str">
        <f t="shared" si="2"/>
        <v>contado</v>
      </c>
      <c r="J10" s="18" t="s">
        <v>78</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DADF0F79-6C2E-4FF3-94C0-03FB90996FDC}"/>
    <hyperlink ref="C9" r:id="rId2" xr:uid="{6AD53EBD-EA10-4D1E-BE65-0CF0C6B57695}"/>
    <hyperlink ref="C8" r:id="rId3" xr:uid="{FAF7D691-9A09-4C94-9E1B-F78306E15AC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4" workbookViewId="0">
      <selection activeCell="C10" sqref="C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54"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42</v>
      </c>
      <c r="C8" s="76" t="s">
        <v>79</v>
      </c>
      <c r="D8" s="31" t="s">
        <v>80</v>
      </c>
      <c r="E8" s="57">
        <v>269999</v>
      </c>
      <c r="F8" s="10">
        <f>E8*19%</f>
        <v>51299.81</v>
      </c>
      <c r="G8" s="11">
        <f>F8+E8</f>
        <v>321298.81</v>
      </c>
      <c r="H8" s="10">
        <f>G8</f>
        <v>321298.81</v>
      </c>
      <c r="I8" s="8" t="s">
        <v>17</v>
      </c>
      <c r="J8" s="8" t="s">
        <v>81</v>
      </c>
      <c r="K8" s="44"/>
      <c r="L8" s="44"/>
      <c r="M8" s="44"/>
      <c r="N8" s="44"/>
      <c r="O8" s="44"/>
      <c r="P8" s="44"/>
      <c r="Q8" s="44"/>
      <c r="R8" s="44"/>
      <c r="S8" s="44"/>
      <c r="T8" s="44"/>
      <c r="U8" s="44"/>
      <c r="V8" s="44"/>
      <c r="W8" s="44"/>
      <c r="X8" s="44"/>
      <c r="Y8" s="44"/>
      <c r="Z8" s="44"/>
    </row>
    <row r="9" spans="1:26" ht="50.25" customHeight="1">
      <c r="A9" s="7" t="s">
        <v>19</v>
      </c>
      <c r="B9" s="13" t="s">
        <v>82</v>
      </c>
      <c r="C9" s="55" t="s">
        <v>83</v>
      </c>
      <c r="D9" s="56" t="s">
        <v>84</v>
      </c>
      <c r="E9" s="10">
        <v>238728</v>
      </c>
      <c r="F9" s="10">
        <f t="shared" ref="F9:H9" si="0">E9</f>
        <v>238728</v>
      </c>
      <c r="G9" s="11">
        <f t="shared" si="0"/>
        <v>238728</v>
      </c>
      <c r="H9" s="10">
        <f t="shared" si="0"/>
        <v>238728</v>
      </c>
      <c r="I9" s="8" t="s">
        <v>17</v>
      </c>
      <c r="J9" s="18"/>
      <c r="K9" s="44"/>
      <c r="L9" s="44"/>
      <c r="M9" s="44"/>
      <c r="N9" s="44"/>
      <c r="O9" s="44"/>
      <c r="P9" s="44"/>
      <c r="Q9" s="44"/>
      <c r="R9" s="44"/>
      <c r="S9" s="44"/>
      <c r="T9" s="44"/>
      <c r="U9" s="44"/>
      <c r="V9" s="44"/>
      <c r="W9" s="44"/>
      <c r="X9" s="44"/>
      <c r="Y9" s="44"/>
      <c r="Z9" s="44"/>
    </row>
    <row r="10" spans="1:26" ht="50.25" customHeight="1">
      <c r="A10" s="7" t="s">
        <v>24</v>
      </c>
      <c r="B10" s="8" t="s">
        <v>85</v>
      </c>
      <c r="C10" s="66" t="s">
        <v>86</v>
      </c>
      <c r="D10" s="31" t="s">
        <v>87</v>
      </c>
      <c r="E10" s="11">
        <v>593775</v>
      </c>
      <c r="F10" s="10">
        <f>E10*19%</f>
        <v>112817.25</v>
      </c>
      <c r="G10" s="11">
        <f>F10+E10</f>
        <v>706592.25</v>
      </c>
      <c r="H10" s="10">
        <f>G10</f>
        <v>706592.25</v>
      </c>
      <c r="I10" s="8" t="s">
        <v>17</v>
      </c>
      <c r="J10" s="18" t="s">
        <v>88</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conditionalFormatting sqref="D8">
    <cfRule type="colorScale" priority="1">
      <colorScale>
        <cfvo type="min"/>
        <cfvo type="max"/>
        <color rgb="FF57BB8A"/>
        <color rgb="FFFFFFFF"/>
      </colorScale>
    </cfRule>
  </conditionalFormatting>
  <hyperlinks>
    <hyperlink ref="C9" r:id="rId1" xr:uid="{2D2BD644-68AC-4186-B02F-B57BA97B7C65}"/>
    <hyperlink ref="C10" r:id="rId2" xr:uid="{97E8041B-90C1-4D4B-8D5C-0CD18F7DBB3D}"/>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5" workbookViewId="0">
      <selection activeCell="C9" sqref="C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6">
        <v>0</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89</v>
      </c>
      <c r="C8" s="76" t="s">
        <v>90</v>
      </c>
      <c r="D8" s="8" t="s">
        <v>91</v>
      </c>
      <c r="E8" s="8">
        <v>89900</v>
      </c>
      <c r="F8" s="10">
        <f>E8*19%</f>
        <v>17081</v>
      </c>
      <c r="G8" s="11">
        <f>E8+F8</f>
        <v>106981</v>
      </c>
      <c r="H8" s="10">
        <f>G8</f>
        <v>106981</v>
      </c>
      <c r="I8" s="8" t="s">
        <v>17</v>
      </c>
      <c r="J8" s="8" t="s">
        <v>92</v>
      </c>
      <c r="K8" s="44"/>
      <c r="L8" s="44"/>
      <c r="M8" s="44"/>
      <c r="N8" s="44"/>
      <c r="O8" s="44"/>
      <c r="P8" s="44"/>
      <c r="Q8" s="44"/>
      <c r="R8" s="44"/>
      <c r="S8" s="44"/>
      <c r="T8" s="44"/>
      <c r="U8" s="44"/>
      <c r="V8" s="44"/>
      <c r="W8" s="44"/>
      <c r="X8" s="44"/>
      <c r="Y8" s="44"/>
      <c r="Z8" s="44"/>
    </row>
    <row r="9" spans="1:26" ht="50.25" customHeight="1">
      <c r="A9" s="7" t="s">
        <v>19</v>
      </c>
      <c r="B9" s="13" t="s">
        <v>37</v>
      </c>
      <c r="C9" s="44" t="s">
        <v>93</v>
      </c>
      <c r="D9" s="8" t="s">
        <v>94</v>
      </c>
      <c r="E9" s="11">
        <v>79000</v>
      </c>
      <c r="F9" s="10">
        <f t="shared" ref="F9:H9" si="0">E9</f>
        <v>79000</v>
      </c>
      <c r="G9" s="11">
        <f t="shared" si="0"/>
        <v>79000</v>
      </c>
      <c r="H9" s="10">
        <f t="shared" si="0"/>
        <v>79000</v>
      </c>
      <c r="I9" s="8" t="s">
        <v>17</v>
      </c>
      <c r="J9" s="18" t="s">
        <v>95</v>
      </c>
      <c r="K9" s="44"/>
      <c r="L9" s="44"/>
      <c r="M9" s="44"/>
      <c r="N9" s="44"/>
      <c r="O9" s="44"/>
      <c r="P9" s="44"/>
      <c r="Q9" s="44"/>
      <c r="R9" s="44"/>
      <c r="S9" s="44"/>
      <c r="T9" s="44"/>
      <c r="U9" s="44"/>
      <c r="V9" s="44"/>
      <c r="W9" s="44"/>
      <c r="X9" s="44"/>
      <c r="Y9" s="44"/>
      <c r="Z9" s="44"/>
    </row>
    <row r="10" spans="1:26" ht="50.25" customHeight="1">
      <c r="A10" s="7" t="s">
        <v>24</v>
      </c>
      <c r="B10" s="8" t="s">
        <v>96</v>
      </c>
      <c r="C10" s="66" t="s">
        <v>97</v>
      </c>
      <c r="D10" s="8" t="s">
        <v>98</v>
      </c>
      <c r="E10" s="11">
        <v>40900</v>
      </c>
      <c r="F10" s="10">
        <f>E10*19%</f>
        <v>7771</v>
      </c>
      <c r="G10" s="16">
        <f>E10+F10</f>
        <v>48671</v>
      </c>
      <c r="H10" s="10">
        <f>G10</f>
        <v>48671</v>
      </c>
      <c r="I10" s="8" t="s">
        <v>17</v>
      </c>
      <c r="J10" s="18" t="s">
        <v>99</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A8697434-2C58-499A-99A4-48056B0BF152}"/>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7" workbookViewId="0">
      <selection activeCell="B8" sqref="B8:D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54" t="s">
        <v>5</v>
      </c>
      <c r="E7" s="3" t="s">
        <v>6</v>
      </c>
      <c r="F7" s="4" t="s">
        <v>7</v>
      </c>
      <c r="G7" s="5" t="s">
        <v>100</v>
      </c>
      <c r="H7" s="3" t="s">
        <v>9</v>
      </c>
      <c r="I7" s="3" t="s">
        <v>10</v>
      </c>
      <c r="J7" s="3" t="s">
        <v>11</v>
      </c>
      <c r="K7" s="6"/>
      <c r="L7" s="6"/>
      <c r="M7" s="6"/>
      <c r="N7" s="6"/>
      <c r="O7" s="6"/>
      <c r="P7" s="6"/>
      <c r="Q7" s="6"/>
      <c r="R7" s="6"/>
      <c r="S7" s="6"/>
      <c r="T7" s="6"/>
      <c r="U7" s="6"/>
      <c r="V7" s="6"/>
      <c r="W7" s="6"/>
      <c r="X7" s="6"/>
      <c r="Y7" s="6"/>
      <c r="Z7" s="6"/>
    </row>
    <row r="8" spans="1:26" ht="50.25" customHeight="1">
      <c r="A8" s="7" t="s">
        <v>12</v>
      </c>
      <c r="B8" s="8" t="s">
        <v>89</v>
      </c>
      <c r="C8" s="65"/>
      <c r="D8" s="59" t="s">
        <v>101</v>
      </c>
      <c r="E8" s="14">
        <v>126158</v>
      </c>
      <c r="F8" s="10">
        <f>E8*19%</f>
        <v>23970.02</v>
      </c>
      <c r="G8" s="11">
        <f>E8+F8</f>
        <v>150128.01999999999</v>
      </c>
      <c r="H8" s="10">
        <f>G8</f>
        <v>150128.01999999999</v>
      </c>
      <c r="I8" s="8" t="s">
        <v>17</v>
      </c>
      <c r="J8" s="8" t="s">
        <v>102</v>
      </c>
      <c r="K8" s="44"/>
      <c r="L8" s="44"/>
      <c r="M8" s="44"/>
      <c r="N8" s="44"/>
      <c r="O8" s="44"/>
      <c r="P8" s="44"/>
      <c r="Q8" s="44"/>
      <c r="R8" s="44"/>
      <c r="S8" s="44"/>
      <c r="T8" s="44"/>
      <c r="U8" s="44"/>
      <c r="V8" s="44"/>
      <c r="W8" s="44"/>
      <c r="X8" s="44"/>
      <c r="Y8" s="44"/>
      <c r="Z8" s="44"/>
    </row>
    <row r="9" spans="1:26" ht="50.25" customHeight="1">
      <c r="A9" s="7" t="s">
        <v>19</v>
      </c>
      <c r="B9" s="13" t="s">
        <v>37</v>
      </c>
      <c r="C9" s="20"/>
      <c r="D9" s="64" t="s">
        <v>94</v>
      </c>
      <c r="E9" s="33">
        <v>79000</v>
      </c>
      <c r="F9" s="10">
        <v>0</v>
      </c>
      <c r="G9" s="11">
        <f t="shared" ref="G9:G10" si="0">E9</f>
        <v>79000</v>
      </c>
      <c r="H9" s="10"/>
      <c r="I9" s="8" t="s">
        <v>17</v>
      </c>
      <c r="J9" s="8" t="s">
        <v>95</v>
      </c>
      <c r="K9" s="44"/>
      <c r="L9" s="44"/>
      <c r="M9" s="44"/>
      <c r="N9" s="44"/>
      <c r="O9" s="44"/>
      <c r="P9" s="44"/>
      <c r="Q9" s="44"/>
      <c r="R9" s="44"/>
      <c r="S9" s="44"/>
      <c r="T9" s="44"/>
      <c r="U9" s="44"/>
      <c r="V9" s="44"/>
      <c r="W9" s="44"/>
      <c r="X9" s="44"/>
      <c r="Y9" s="44"/>
      <c r="Z9" s="44"/>
    </row>
    <row r="10" spans="1:26" ht="50.25" customHeight="1">
      <c r="A10" s="7" t="s">
        <v>24</v>
      </c>
      <c r="B10" s="8" t="s">
        <v>103</v>
      </c>
      <c r="C10" s="8"/>
      <c r="D10" s="8" t="s">
        <v>104</v>
      </c>
      <c r="E10" s="11">
        <v>65518</v>
      </c>
      <c r="F10" s="34">
        <v>0</v>
      </c>
      <c r="G10" s="11">
        <f>E10</f>
        <v>65518</v>
      </c>
      <c r="H10" s="10">
        <f>G10</f>
        <v>65518</v>
      </c>
      <c r="I10" s="8" t="s">
        <v>17</v>
      </c>
      <c r="J10" s="8"/>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B5" workbookViewId="0">
      <selection activeCell="D10" sqref="D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37</v>
      </c>
      <c r="C8" s="62" t="s">
        <v>105</v>
      </c>
      <c r="D8" s="9" t="s">
        <v>106</v>
      </c>
      <c r="E8" s="11">
        <v>1899900</v>
      </c>
      <c r="F8" s="10">
        <f>E8*19%</f>
        <v>360981</v>
      </c>
      <c r="G8" s="11">
        <f>E8+F8</f>
        <v>2260881</v>
      </c>
      <c r="H8" s="10">
        <f>G8</f>
        <v>2260881</v>
      </c>
      <c r="I8" s="8" t="s">
        <v>17</v>
      </c>
      <c r="J8" s="8"/>
      <c r="K8" s="44"/>
      <c r="L8" s="44"/>
      <c r="M8" s="44"/>
      <c r="N8" s="44"/>
      <c r="O8" s="44"/>
      <c r="P8" s="44"/>
      <c r="Q8" s="44"/>
      <c r="R8" s="44"/>
      <c r="S8" s="44"/>
      <c r="T8" s="44"/>
      <c r="U8" s="44"/>
      <c r="V8" s="44"/>
      <c r="W8" s="44"/>
      <c r="X8" s="44"/>
      <c r="Y8" s="44"/>
      <c r="Z8" s="44"/>
    </row>
    <row r="9" spans="1:26" ht="50.25" customHeight="1">
      <c r="A9" s="7" t="s">
        <v>19</v>
      </c>
      <c r="B9" s="13" t="s">
        <v>107</v>
      </c>
      <c r="C9" s="35" t="s">
        <v>108</v>
      </c>
      <c r="D9" s="8" t="s">
        <v>109</v>
      </c>
      <c r="E9" s="11">
        <v>2970197</v>
      </c>
      <c r="F9" s="10">
        <f t="shared" ref="F9:H9" si="0">E9</f>
        <v>2970197</v>
      </c>
      <c r="G9" s="11">
        <f t="shared" si="0"/>
        <v>2970197</v>
      </c>
      <c r="H9" s="10">
        <f t="shared" si="0"/>
        <v>2970197</v>
      </c>
      <c r="I9" s="8" t="s">
        <v>17</v>
      </c>
      <c r="J9" s="8" t="s">
        <v>110</v>
      </c>
      <c r="K9" s="44"/>
      <c r="L9" s="44"/>
      <c r="M9" s="44"/>
      <c r="N9" s="44"/>
      <c r="O9" s="44"/>
      <c r="P9" s="44"/>
      <c r="Q9" s="44"/>
      <c r="R9" s="44"/>
      <c r="S9" s="44"/>
      <c r="T9" s="44"/>
      <c r="U9" s="44"/>
      <c r="V9" s="44"/>
      <c r="W9" s="44"/>
      <c r="X9" s="44"/>
      <c r="Y9" s="44"/>
      <c r="Z9" s="44"/>
    </row>
    <row r="10" spans="1:26" ht="50.25" customHeight="1">
      <c r="A10" s="7" t="s">
        <v>24</v>
      </c>
      <c r="B10" s="8" t="s">
        <v>111</v>
      </c>
      <c r="C10" s="8" t="s">
        <v>112</v>
      </c>
      <c r="D10" s="8" t="s">
        <v>113</v>
      </c>
      <c r="E10" s="11" t="s">
        <v>114</v>
      </c>
      <c r="F10" s="10" t="e">
        <f>E10*19%</f>
        <v>#VALUE!</v>
      </c>
      <c r="G10" s="16" t="e">
        <f>E10+F10</f>
        <v>#VALUE!</v>
      </c>
      <c r="H10" s="10" t="e">
        <f>G10</f>
        <v>#VALUE!</v>
      </c>
      <c r="I10" s="8" t="s">
        <v>17</v>
      </c>
      <c r="J10" s="8" t="s">
        <v>115</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abSelected="1" topLeftCell="A6" workbookViewId="0">
      <selection activeCell="B10" sqref="B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31</v>
      </c>
      <c r="C8" s="62" t="s">
        <v>32</v>
      </c>
      <c r="D8" s="77" t="s">
        <v>116</v>
      </c>
      <c r="E8" s="8">
        <v>329990</v>
      </c>
      <c r="F8" s="10">
        <f t="shared" ref="F8:F9" si="0">E8*19%</f>
        <v>62698.1</v>
      </c>
      <c r="G8" s="11">
        <f>F8+E8</f>
        <v>392688.1</v>
      </c>
      <c r="H8" s="10">
        <f t="shared" ref="H8:H9" si="1">G8</f>
        <v>392688.1</v>
      </c>
      <c r="I8" s="8" t="s">
        <v>17</v>
      </c>
      <c r="J8" s="8" t="s">
        <v>34</v>
      </c>
      <c r="K8" s="44"/>
      <c r="L8" s="44"/>
      <c r="M8" s="44"/>
      <c r="N8" s="44"/>
      <c r="O8" s="44"/>
      <c r="P8" s="44"/>
      <c r="Q8" s="44"/>
      <c r="R8" s="44"/>
      <c r="S8" s="44"/>
      <c r="T8" s="44"/>
      <c r="U8" s="44"/>
      <c r="V8" s="44"/>
      <c r="W8" s="44"/>
      <c r="X8" s="44"/>
      <c r="Y8" s="44"/>
      <c r="Z8" s="44"/>
    </row>
    <row r="9" spans="1:26" ht="50.25" customHeight="1">
      <c r="A9" s="7" t="s">
        <v>19</v>
      </c>
      <c r="B9" s="77" t="s">
        <v>37</v>
      </c>
      <c r="C9" s="79" t="s">
        <v>117</v>
      </c>
      <c r="D9" s="18" t="s">
        <v>39</v>
      </c>
      <c r="E9" s="14">
        <v>939900</v>
      </c>
      <c r="F9" s="10">
        <f t="shared" si="0"/>
        <v>178581</v>
      </c>
      <c r="G9" s="11">
        <f>E9+F9</f>
        <v>1118481</v>
      </c>
      <c r="H9" s="10">
        <f t="shared" si="1"/>
        <v>1118481</v>
      </c>
      <c r="I9" s="8" t="s">
        <v>17</v>
      </c>
      <c r="J9" s="18" t="s">
        <v>41</v>
      </c>
      <c r="K9" s="44"/>
      <c r="L9" s="44"/>
      <c r="M9" s="44"/>
      <c r="N9" s="44"/>
      <c r="O9" s="44"/>
      <c r="P9" s="44"/>
      <c r="Q9" s="44"/>
      <c r="R9" s="44"/>
      <c r="S9" s="44"/>
      <c r="T9" s="44"/>
      <c r="U9" s="44"/>
      <c r="V9" s="44"/>
      <c r="W9" s="44"/>
      <c r="X9" s="44"/>
      <c r="Y9" s="44"/>
      <c r="Z9" s="44"/>
    </row>
    <row r="10" spans="1:26" ht="50.25" customHeight="1">
      <c r="A10" s="71" t="s">
        <v>24</v>
      </c>
      <c r="B10" s="97" t="s">
        <v>118</v>
      </c>
      <c r="C10" s="98" t="s">
        <v>119</v>
      </c>
      <c r="D10" s="78" t="s">
        <v>120</v>
      </c>
      <c r="E10" s="11">
        <v>1299900</v>
      </c>
      <c r="F10" s="10">
        <f t="shared" ref="F10:H10" si="2">E10</f>
        <v>1299900</v>
      </c>
      <c r="G10" s="16">
        <f t="shared" si="2"/>
        <v>1299900</v>
      </c>
      <c r="H10" s="10">
        <f t="shared" si="2"/>
        <v>1299900</v>
      </c>
      <c r="I10" s="8" t="s">
        <v>40</v>
      </c>
      <c r="J10" s="18" t="s">
        <v>121</v>
      </c>
      <c r="K10" s="44"/>
      <c r="L10" s="44"/>
      <c r="M10" s="44"/>
      <c r="N10" s="44"/>
      <c r="O10" s="44"/>
      <c r="P10" s="44"/>
      <c r="Q10" s="44"/>
      <c r="R10" s="44"/>
      <c r="S10" s="44"/>
      <c r="T10" s="44"/>
      <c r="U10" s="44"/>
      <c r="V10" s="44"/>
      <c r="W10" s="44"/>
      <c r="X10" s="44"/>
      <c r="Y10" s="44"/>
      <c r="Z10" s="44"/>
    </row>
    <row r="11" spans="1:26" ht="15" hidden="1" customHeight="1">
      <c r="A11" s="17"/>
      <c r="B11" s="7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9" r:id="rId1" xr:uid="{3AD625B6-C769-42B2-B051-175D2FBBDBE4}"/>
    <hyperlink ref="C10" r:id="rId2" xr:uid="{615C2C48-65AD-4CB6-8873-3A2F50486954}"/>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5" workbookViewId="0">
      <selection activeCell="C9" sqref="C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t="s">
        <v>122</v>
      </c>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22"/>
      <c r="C8" s="59"/>
      <c r="D8" s="22"/>
      <c r="E8" s="23"/>
      <c r="F8" s="24">
        <f t="shared" ref="F8:F9" si="0">E8*19%</f>
        <v>0</v>
      </c>
      <c r="G8" s="25">
        <f t="shared" ref="G8:G9" si="1">E8+F8</f>
        <v>0</v>
      </c>
      <c r="H8" s="24">
        <f t="shared" ref="H8:H9" si="2">G8</f>
        <v>0</v>
      </c>
      <c r="I8" s="22" t="s">
        <v>17</v>
      </c>
      <c r="J8" s="8"/>
      <c r="K8" s="44"/>
      <c r="L8" s="44"/>
      <c r="M8" s="44"/>
      <c r="N8" s="44"/>
      <c r="O8" s="44"/>
      <c r="P8" s="44"/>
      <c r="Q8" s="44"/>
      <c r="R8" s="44"/>
      <c r="S8" s="44"/>
      <c r="T8" s="44"/>
      <c r="U8" s="44"/>
      <c r="V8" s="44"/>
      <c r="W8" s="44"/>
      <c r="X8" s="44"/>
      <c r="Y8" s="44"/>
      <c r="Z8" s="44"/>
    </row>
    <row r="9" spans="1:26" ht="50.25" customHeight="1">
      <c r="A9" s="7" t="s">
        <v>19</v>
      </c>
      <c r="B9" s="26"/>
      <c r="C9" s="62"/>
      <c r="D9" s="27"/>
      <c r="E9" s="28"/>
      <c r="F9" s="24">
        <f t="shared" si="0"/>
        <v>0</v>
      </c>
      <c r="G9" s="25">
        <f t="shared" si="1"/>
        <v>0</v>
      </c>
      <c r="H9" s="24">
        <f t="shared" si="2"/>
        <v>0</v>
      </c>
      <c r="I9" s="22" t="s">
        <v>17</v>
      </c>
      <c r="J9" s="18"/>
      <c r="K9" s="44"/>
      <c r="L9" s="44"/>
      <c r="M9" s="44"/>
      <c r="N9" s="44"/>
      <c r="O9" s="44"/>
      <c r="P9" s="44"/>
      <c r="Q9" s="44"/>
      <c r="R9" s="44"/>
      <c r="S9" s="44"/>
      <c r="T9" s="44"/>
      <c r="U9" s="44"/>
      <c r="V9" s="44"/>
      <c r="W9" s="44"/>
      <c r="X9" s="44"/>
      <c r="Y9" s="44"/>
      <c r="Z9" s="44"/>
    </row>
    <row r="10" spans="1:26" ht="50.25" customHeight="1">
      <c r="A10" s="7" t="s">
        <v>24</v>
      </c>
      <c r="B10" s="26" t="s">
        <v>123</v>
      </c>
      <c r="C10" s="26" t="s">
        <v>124</v>
      </c>
      <c r="D10" s="22">
        <f t="shared" ref="D10" si="3">D9</f>
        <v>0</v>
      </c>
      <c r="E10" s="29">
        <v>220000</v>
      </c>
      <c r="F10" s="24">
        <f t="shared" ref="F10:H10" si="4">E10</f>
        <v>220000</v>
      </c>
      <c r="G10" s="25">
        <f t="shared" si="4"/>
        <v>220000</v>
      </c>
      <c r="H10" s="24">
        <f t="shared" si="4"/>
        <v>220000</v>
      </c>
      <c r="I10" s="22" t="s">
        <v>17</v>
      </c>
      <c r="J10" s="18"/>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5" workbookViewId="0">
      <selection activeCell="B8" sqref="B8:E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c r="C8" s="8"/>
      <c r="D8" s="36"/>
      <c r="E8" s="8"/>
      <c r="F8" s="10">
        <f>E8*19%</f>
        <v>0</v>
      </c>
      <c r="G8" s="11">
        <f>F8+E8</f>
        <v>0</v>
      </c>
      <c r="H8" s="10">
        <f>G8</f>
        <v>0</v>
      </c>
      <c r="I8" s="8" t="s">
        <v>17</v>
      </c>
      <c r="J8" s="8"/>
      <c r="K8" s="44"/>
      <c r="L8" s="44"/>
      <c r="M8" s="44"/>
      <c r="N8" s="44"/>
      <c r="O8" s="44"/>
      <c r="P8" s="44"/>
      <c r="Q8" s="44"/>
      <c r="R8" s="44"/>
      <c r="S8" s="44"/>
      <c r="T8" s="44"/>
      <c r="U8" s="44"/>
      <c r="V8" s="44"/>
      <c r="W8" s="44"/>
      <c r="X8" s="44"/>
      <c r="Y8" s="44"/>
      <c r="Z8" s="44"/>
    </row>
    <row r="9" spans="1:26" ht="50.25" customHeight="1">
      <c r="A9" s="7" t="s">
        <v>19</v>
      </c>
      <c r="B9" s="13"/>
      <c r="C9" s="59"/>
      <c r="D9" s="31"/>
      <c r="E9" s="8"/>
      <c r="F9" s="10">
        <f t="shared" ref="F9:H9" si="0">E9</f>
        <v>0</v>
      </c>
      <c r="G9" s="11">
        <f t="shared" si="0"/>
        <v>0</v>
      </c>
      <c r="H9" s="10">
        <f t="shared" si="0"/>
        <v>0</v>
      </c>
      <c r="I9" s="8" t="s">
        <v>17</v>
      </c>
      <c r="J9" s="18"/>
      <c r="K9" s="44"/>
      <c r="L9" s="44"/>
      <c r="M9" s="44"/>
      <c r="N9" s="44"/>
      <c r="O9" s="44"/>
      <c r="P9" s="44"/>
      <c r="Q9" s="44"/>
      <c r="R9" s="44"/>
      <c r="S9" s="44"/>
      <c r="T9" s="44"/>
      <c r="U9" s="44"/>
      <c r="V9" s="44"/>
      <c r="W9" s="44"/>
      <c r="X9" s="44"/>
      <c r="Y9" s="44"/>
      <c r="Z9" s="44"/>
    </row>
    <row r="10" spans="1:26" ht="50.25" customHeight="1">
      <c r="A10" s="7" t="s">
        <v>24</v>
      </c>
      <c r="B10" s="8" t="s">
        <v>125</v>
      </c>
      <c r="C10" s="60" t="s">
        <v>126</v>
      </c>
      <c r="D10" s="37" t="s">
        <v>127</v>
      </c>
      <c r="E10" s="11">
        <v>389000</v>
      </c>
      <c r="F10" s="10">
        <f>E10*19%</f>
        <v>73910</v>
      </c>
      <c r="G10" s="11">
        <f>F10+E10</f>
        <v>462910</v>
      </c>
      <c r="H10" s="10">
        <f>G10</f>
        <v>462910</v>
      </c>
      <c r="I10" s="8" t="s">
        <v>17</v>
      </c>
      <c r="J10" s="18"/>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conditionalFormatting sqref="D8">
    <cfRule type="colorScale" priority="1">
      <colorScale>
        <cfvo type="min"/>
        <cfvo type="max"/>
        <color rgb="FF57BB8A"/>
        <color rgb="FFFFFFFF"/>
      </colorScale>
    </cfRule>
  </conditionalFormatting>
  <hyperlinks>
    <hyperlink ref="C10" r:id="rId1" xr:uid="{00000000-0004-0000-0B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A6" zoomScale="90" workbookViewId="0">
      <selection activeCell="B8" sqref="B8:D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c r="C8" s="8"/>
      <c r="D8" s="8"/>
      <c r="E8" s="11">
        <v>8400000</v>
      </c>
      <c r="F8" s="10">
        <f t="shared" ref="F8:F10" si="0">E8*19%</f>
        <v>1596000</v>
      </c>
      <c r="G8" s="11">
        <f t="shared" ref="G8:G10" si="1">F8+E8</f>
        <v>9996000</v>
      </c>
      <c r="H8" s="10">
        <f t="shared" ref="H8:H10" si="2">G8</f>
        <v>9996000</v>
      </c>
      <c r="I8" s="8" t="s">
        <v>17</v>
      </c>
      <c r="J8" s="8"/>
      <c r="K8" s="44"/>
      <c r="L8" s="44"/>
      <c r="M8" s="44"/>
      <c r="N8" s="44"/>
      <c r="O8" s="44"/>
      <c r="P8" s="44"/>
      <c r="Q8" s="44"/>
      <c r="R8" s="44"/>
      <c r="S8" s="44"/>
      <c r="T8" s="44"/>
      <c r="U8" s="44"/>
      <c r="V8" s="44"/>
      <c r="W8" s="44"/>
      <c r="X8" s="44"/>
      <c r="Y8" s="44"/>
      <c r="Z8" s="44"/>
    </row>
    <row r="9" spans="1:26" ht="50.25" customHeight="1">
      <c r="A9" s="7" t="s">
        <v>19</v>
      </c>
      <c r="B9" s="13"/>
      <c r="C9" s="59"/>
      <c r="D9" s="8"/>
      <c r="E9" s="30">
        <v>8690000</v>
      </c>
      <c r="F9" s="10">
        <f t="shared" si="0"/>
        <v>1651100</v>
      </c>
      <c r="G9" s="11">
        <f t="shared" si="1"/>
        <v>10341100</v>
      </c>
      <c r="H9" s="10">
        <f t="shared" si="2"/>
        <v>10341100</v>
      </c>
      <c r="I9" s="8" t="str">
        <f t="shared" ref="I9:I10" si="3">I8</f>
        <v>contado</v>
      </c>
      <c r="J9" s="18"/>
      <c r="K9" s="44"/>
      <c r="L9" s="44"/>
      <c r="M9" s="44"/>
      <c r="N9" s="44"/>
      <c r="O9" s="44"/>
      <c r="P9" s="44"/>
      <c r="Q9" s="44"/>
      <c r="R9" s="44"/>
      <c r="S9" s="44"/>
      <c r="T9" s="44"/>
      <c r="U9" s="44"/>
      <c r="V9" s="44"/>
      <c r="W9" s="44"/>
      <c r="X9" s="44"/>
      <c r="Y9" s="44"/>
      <c r="Z9" s="44"/>
    </row>
    <row r="10" spans="1:26" ht="50.25" customHeight="1">
      <c r="A10" s="7" t="s">
        <v>24</v>
      </c>
      <c r="B10" s="8" t="s">
        <v>128</v>
      </c>
      <c r="C10" s="8" t="s">
        <v>129</v>
      </c>
      <c r="D10" s="8">
        <f t="shared" ref="D10" si="4">D9</f>
        <v>0</v>
      </c>
      <c r="E10" s="11">
        <v>6899000</v>
      </c>
      <c r="F10" s="10">
        <f t="shared" si="0"/>
        <v>1310810</v>
      </c>
      <c r="G10" s="16">
        <f t="shared" si="1"/>
        <v>8209810</v>
      </c>
      <c r="H10" s="10">
        <f t="shared" si="2"/>
        <v>8209810</v>
      </c>
      <c r="I10" s="8" t="str">
        <f t="shared" si="3"/>
        <v>contado</v>
      </c>
      <c r="J10" s="18"/>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7" workbookViewId="0">
      <selection activeCell="B8" sqref="B8:E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54"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1" t="s">
        <v>12</v>
      </c>
      <c r="B8" s="70" t="s">
        <v>130</v>
      </c>
      <c r="C8" s="72"/>
      <c r="D8" s="9" t="s">
        <v>131</v>
      </c>
      <c r="E8" s="11">
        <v>224139</v>
      </c>
      <c r="F8" s="10">
        <f t="shared" ref="F8:F10" si="0">E8*19%</f>
        <v>42586.41</v>
      </c>
      <c r="G8" s="11">
        <f t="shared" ref="G8:G10" si="1">E8+F8</f>
        <v>266725.41000000003</v>
      </c>
      <c r="H8" s="10">
        <f t="shared" ref="H8:H10" si="2">G8</f>
        <v>266725.41000000003</v>
      </c>
      <c r="I8" s="8" t="s">
        <v>17</v>
      </c>
      <c r="J8" s="8" t="s">
        <v>110</v>
      </c>
      <c r="K8" s="44"/>
      <c r="L8" s="44"/>
      <c r="M8" s="44"/>
      <c r="N8" s="44"/>
      <c r="O8" s="44"/>
      <c r="P8" s="44"/>
      <c r="Q8" s="44"/>
      <c r="R8" s="44"/>
      <c r="S8" s="44"/>
      <c r="T8" s="44"/>
      <c r="U8" s="44"/>
      <c r="V8" s="44"/>
      <c r="W8" s="44"/>
      <c r="X8" s="44"/>
      <c r="Y8" s="44"/>
      <c r="Z8" s="44"/>
    </row>
    <row r="9" spans="1:26" ht="50.25" customHeight="1">
      <c r="A9" s="7" t="s">
        <v>19</v>
      </c>
      <c r="B9" s="73" t="s">
        <v>132</v>
      </c>
      <c r="C9" s="22"/>
      <c r="D9" s="8" t="s">
        <v>133</v>
      </c>
      <c r="E9" s="11">
        <v>380000</v>
      </c>
      <c r="F9" s="10">
        <f t="shared" si="0"/>
        <v>72200</v>
      </c>
      <c r="G9" s="11">
        <f t="shared" si="1"/>
        <v>452200</v>
      </c>
      <c r="H9" s="10">
        <f t="shared" si="2"/>
        <v>452200</v>
      </c>
      <c r="I9" s="8" t="s">
        <v>17</v>
      </c>
      <c r="J9" s="8" t="s">
        <v>110</v>
      </c>
      <c r="K9" s="44"/>
      <c r="L9" s="44"/>
      <c r="M9" s="44"/>
      <c r="N9" s="44"/>
      <c r="O9" s="44"/>
      <c r="P9" s="44"/>
      <c r="Q9" s="44"/>
      <c r="R9" s="44"/>
      <c r="S9" s="44"/>
      <c r="T9" s="44"/>
      <c r="U9" s="44"/>
      <c r="V9" s="44"/>
      <c r="W9" s="44"/>
      <c r="X9" s="44"/>
      <c r="Y9" s="44"/>
      <c r="Z9" s="44"/>
    </row>
    <row r="10" spans="1:26" ht="50.25" customHeight="1">
      <c r="A10" s="7" t="s">
        <v>24</v>
      </c>
      <c r="B10" s="8" t="s">
        <v>134</v>
      </c>
      <c r="C10" s="8" t="s">
        <v>135</v>
      </c>
      <c r="D10" s="8" t="str">
        <f t="shared" ref="D10" si="3">D9</f>
        <v>Tarjeta Gráfica Nvidea Geforce Gt 730 4gb Gddr3 Pci-e 3.0</v>
      </c>
      <c r="E10" s="11">
        <v>1170000</v>
      </c>
      <c r="F10" s="10">
        <f t="shared" si="0"/>
        <v>222300</v>
      </c>
      <c r="G10" s="11">
        <f t="shared" si="1"/>
        <v>1392300</v>
      </c>
      <c r="H10" s="10">
        <f t="shared" si="2"/>
        <v>1392300</v>
      </c>
      <c r="I10" s="8" t="s">
        <v>17</v>
      </c>
      <c r="J10" s="8"/>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6" workbookViewId="0"/>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125</v>
      </c>
      <c r="C8" s="20" t="s">
        <v>136</v>
      </c>
      <c r="D8" s="9" t="s">
        <v>137</v>
      </c>
      <c r="E8" s="11">
        <v>1655910</v>
      </c>
      <c r="F8" s="10">
        <f t="shared" ref="F8:F10" si="0">E8*19%</f>
        <v>314622.90000000002</v>
      </c>
      <c r="G8" s="11">
        <f t="shared" ref="G8:G10" si="1">F8+E8</f>
        <v>1970532.9</v>
      </c>
      <c r="H8" s="10">
        <f t="shared" ref="H8:H10" si="2">G8</f>
        <v>1970532.9</v>
      </c>
      <c r="I8" s="8" t="s">
        <v>17</v>
      </c>
      <c r="J8" s="8" t="s">
        <v>138</v>
      </c>
      <c r="K8" s="44"/>
      <c r="L8" s="44"/>
      <c r="M8" s="44"/>
      <c r="N8" s="44"/>
      <c r="O8" s="44"/>
      <c r="P8" s="44"/>
      <c r="Q8" s="44"/>
      <c r="R8" s="44"/>
      <c r="S8" s="44"/>
      <c r="T8" s="44"/>
      <c r="U8" s="44"/>
      <c r="V8" s="44"/>
      <c r="W8" s="44"/>
      <c r="X8" s="44"/>
      <c r="Y8" s="44"/>
      <c r="Z8" s="44"/>
    </row>
    <row r="9" spans="1:26" ht="50.25" customHeight="1">
      <c r="A9" s="7" t="s">
        <v>19</v>
      </c>
      <c r="B9" s="13" t="s">
        <v>139</v>
      </c>
      <c r="C9" s="8" t="s">
        <v>140</v>
      </c>
      <c r="D9" s="8" t="str">
        <f t="shared" ref="D9:D10" si="3">D8</f>
        <v xml:space="preserve">Procesador gamer AMD Ryzen 7 7700X 100-100000591WOF de 8 núcleos </v>
      </c>
      <c r="E9" s="11">
        <v>1861415</v>
      </c>
      <c r="F9" s="10">
        <f t="shared" si="0"/>
        <v>353668.85</v>
      </c>
      <c r="G9" s="11">
        <f t="shared" si="1"/>
        <v>2215083.85</v>
      </c>
      <c r="H9" s="10">
        <f t="shared" si="2"/>
        <v>2215083.85</v>
      </c>
      <c r="I9" s="8" t="s">
        <v>17</v>
      </c>
      <c r="J9" s="8" t="str">
        <f t="shared" ref="J9:J10" si="4">J8</f>
        <v>5.4GHz de frecuencia con gráfica integrada</v>
      </c>
      <c r="K9" s="44"/>
      <c r="L9" s="44"/>
      <c r="M9" s="44"/>
      <c r="N9" s="44"/>
      <c r="O9" s="44"/>
      <c r="P9" s="44"/>
      <c r="Q9" s="44"/>
      <c r="R9" s="44"/>
      <c r="S9" s="44"/>
      <c r="T9" s="44"/>
      <c r="U9" s="44"/>
      <c r="V9" s="44"/>
      <c r="W9" s="44"/>
      <c r="X9" s="44"/>
      <c r="Y9" s="44"/>
      <c r="Z9" s="44"/>
    </row>
    <row r="10" spans="1:26" ht="50.25" customHeight="1">
      <c r="A10" s="7" t="s">
        <v>24</v>
      </c>
      <c r="B10" s="38" t="s">
        <v>141</v>
      </c>
      <c r="C10" s="8" t="s">
        <v>142</v>
      </c>
      <c r="D10" s="8" t="str">
        <f t="shared" si="3"/>
        <v xml:space="preserve">Procesador gamer AMD Ryzen 7 7700X 100-100000591WOF de 8 núcleos </v>
      </c>
      <c r="E10" s="11">
        <v>1799000</v>
      </c>
      <c r="F10" s="10">
        <f t="shared" si="0"/>
        <v>341810</v>
      </c>
      <c r="G10" s="11">
        <f t="shared" si="1"/>
        <v>2140810</v>
      </c>
      <c r="H10" s="10">
        <f t="shared" si="2"/>
        <v>2140810</v>
      </c>
      <c r="I10" s="8" t="s">
        <v>17</v>
      </c>
      <c r="J10" s="8" t="str">
        <f t="shared" si="4"/>
        <v>5.4GHz de frecuencia con gráfica integrada</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searchVariation=MCO19711896&amp;position=1&amp;search_layout=stack&amp;type=product&amp;tracking_id=33d9ed9c-8c31-4747-8d81-cf6cb1856781" xr:uid="{00000000-0004-0000-0E00-000000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opLeftCell="A10" workbookViewId="0"/>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6">
        <v>0</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89</v>
      </c>
      <c r="C8" s="32" t="s">
        <v>143</v>
      </c>
      <c r="D8" s="8" t="s">
        <v>144</v>
      </c>
      <c r="E8" s="8">
        <v>391000</v>
      </c>
      <c r="F8" s="10">
        <f>E8*19%</f>
        <v>74290</v>
      </c>
      <c r="G8" s="11">
        <f>E8+F8</f>
        <v>465290</v>
      </c>
      <c r="H8" s="10">
        <f>G8</f>
        <v>465290</v>
      </c>
      <c r="I8" s="8" t="s">
        <v>17</v>
      </c>
      <c r="J8" s="8" t="s">
        <v>145</v>
      </c>
      <c r="K8" s="44"/>
      <c r="L8" s="44"/>
      <c r="M8" s="44"/>
      <c r="N8" s="44"/>
      <c r="O8" s="44"/>
      <c r="P8" s="44"/>
      <c r="Q8" s="44"/>
      <c r="R8" s="44"/>
      <c r="S8" s="44"/>
      <c r="T8" s="44"/>
      <c r="U8" s="44"/>
      <c r="V8" s="44"/>
      <c r="W8" s="44"/>
      <c r="X8" s="44"/>
      <c r="Y8" s="44"/>
      <c r="Z8" s="44"/>
    </row>
    <row r="9" spans="1:26" ht="50.25" customHeight="1">
      <c r="A9" s="7" t="s">
        <v>19</v>
      </c>
      <c r="B9" s="13" t="s">
        <v>146</v>
      </c>
      <c r="C9" s="61" t="s">
        <v>147</v>
      </c>
      <c r="D9" s="8" t="str">
        <f t="shared" ref="D9:D10" si="0">D8</f>
        <v xml:space="preserve">Teclado bluetooth </v>
      </c>
      <c r="E9" s="8">
        <v>420000</v>
      </c>
      <c r="F9" s="10">
        <f t="shared" ref="F9:H9" si="1">E9</f>
        <v>420000</v>
      </c>
      <c r="G9" s="11">
        <f t="shared" si="1"/>
        <v>420000</v>
      </c>
      <c r="H9" s="10">
        <f t="shared" si="1"/>
        <v>420000</v>
      </c>
      <c r="I9" s="8" t="s">
        <v>17</v>
      </c>
      <c r="J9" s="18" t="str">
        <f t="shared" ref="J9:J10" si="2">J8</f>
        <v>Logitech Master Series MX Keys Mini QWERTY 
español color grafito con luz blanca</v>
      </c>
      <c r="K9" s="44"/>
      <c r="L9" s="44"/>
      <c r="M9" s="44"/>
      <c r="N9" s="44"/>
      <c r="O9" s="44"/>
      <c r="P9" s="44"/>
      <c r="Q9" s="44"/>
      <c r="R9" s="44"/>
      <c r="S9" s="44"/>
      <c r="T9" s="44"/>
      <c r="U9" s="44"/>
      <c r="V9" s="44"/>
      <c r="W9" s="44"/>
      <c r="X9" s="44"/>
      <c r="Y9" s="44"/>
      <c r="Z9" s="44"/>
    </row>
    <row r="10" spans="1:26" ht="50.25" customHeight="1">
      <c r="A10" s="7" t="s">
        <v>24</v>
      </c>
      <c r="B10" s="8" t="s">
        <v>148</v>
      </c>
      <c r="C10" s="18" t="s">
        <v>149</v>
      </c>
      <c r="D10" s="8" t="str">
        <f t="shared" si="0"/>
        <v xml:space="preserve">Teclado bluetooth </v>
      </c>
      <c r="E10" s="11">
        <v>549900</v>
      </c>
      <c r="F10" s="10">
        <f>E10*19%</f>
        <v>104481</v>
      </c>
      <c r="G10" s="16">
        <f>E10+F10</f>
        <v>654381</v>
      </c>
      <c r="H10" s="10">
        <f>G10</f>
        <v>654381</v>
      </c>
      <c r="I10" s="8" t="s">
        <v>17</v>
      </c>
      <c r="J10" s="18" t="str">
        <f t="shared" si="2"/>
        <v>Logitech Master Series MX Keys Mini QWERTY 
español color grafito con luz blanca</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0F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topLeftCell="A5" workbookViewId="0"/>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9" t="s">
        <v>150</v>
      </c>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100</v>
      </c>
      <c r="H7" s="3" t="s">
        <v>9</v>
      </c>
      <c r="I7" s="3" t="s">
        <v>10</v>
      </c>
      <c r="J7" s="3" t="s">
        <v>11</v>
      </c>
      <c r="K7" s="6"/>
      <c r="L7" s="6"/>
      <c r="M7" s="6"/>
      <c r="N7" s="6"/>
      <c r="O7" s="6"/>
      <c r="P7" s="6"/>
      <c r="Q7" s="6"/>
      <c r="R7" s="6"/>
      <c r="S7" s="6"/>
      <c r="T7" s="6"/>
      <c r="U7" s="6"/>
      <c r="V7" s="6"/>
      <c r="W7" s="6"/>
      <c r="X7" s="6"/>
      <c r="Y7" s="6"/>
      <c r="Z7" s="6"/>
    </row>
    <row r="8" spans="1:26" ht="50.25" customHeight="1">
      <c r="A8" s="7" t="s">
        <v>12</v>
      </c>
      <c r="B8" s="8" t="s">
        <v>151</v>
      </c>
      <c r="C8" s="8" t="s">
        <v>152</v>
      </c>
      <c r="D8" s="9" t="s">
        <v>153</v>
      </c>
      <c r="E8" s="8">
        <v>126.158</v>
      </c>
      <c r="F8" s="10">
        <f>E8*19%</f>
        <v>23.970020000000002</v>
      </c>
      <c r="G8" s="11">
        <f>E8+F8</f>
        <v>150.12801999999999</v>
      </c>
      <c r="H8" s="10">
        <f>G8</f>
        <v>150.12801999999999</v>
      </c>
      <c r="I8" s="8" t="s">
        <v>17</v>
      </c>
      <c r="J8" s="8" t="s">
        <v>154</v>
      </c>
      <c r="K8" s="44"/>
      <c r="L8" s="44"/>
      <c r="M8" s="44"/>
      <c r="N8" s="44"/>
      <c r="O8" s="44"/>
      <c r="P8" s="44"/>
      <c r="Q8" s="44"/>
      <c r="R8" s="44"/>
      <c r="S8" s="44"/>
      <c r="T8" s="44"/>
      <c r="U8" s="44"/>
      <c r="V8" s="44"/>
      <c r="W8" s="44"/>
      <c r="X8" s="44"/>
      <c r="Y8" s="44"/>
      <c r="Z8" s="44"/>
    </row>
    <row r="9" spans="1:26" ht="50.25" customHeight="1">
      <c r="A9" s="7" t="s">
        <v>19</v>
      </c>
      <c r="B9" s="13" t="s">
        <v>155</v>
      </c>
      <c r="C9" s="20" t="s">
        <v>156</v>
      </c>
      <c r="D9" s="8" t="str">
        <f t="shared" ref="D9:D10" si="0">D8</f>
        <v>Logitech M100 Ratón con
 Cable USB</v>
      </c>
      <c r="E9" s="8" t="s">
        <v>157</v>
      </c>
      <c r="F9" s="10">
        <v>0</v>
      </c>
      <c r="G9" s="11" t="str">
        <f>E9</f>
        <v>12,99€</v>
      </c>
      <c r="H9" s="10" t="s">
        <v>158</v>
      </c>
      <c r="I9" s="8" t="s">
        <v>17</v>
      </c>
      <c r="J9" s="8" t="str">
        <f t="shared" ref="J9:J10" si="1">J8</f>
        <v xml:space="preserve">3 Botones, Seguimiento Óptimo 1000 DPI, Ambidestro, Compatible con PC, Mac, Portátil 
</v>
      </c>
      <c r="K9" s="44"/>
      <c r="L9" s="44"/>
      <c r="M9" s="44"/>
      <c r="N9" s="44"/>
      <c r="O9" s="44"/>
      <c r="P9" s="44"/>
      <c r="Q9" s="44"/>
      <c r="R9" s="44"/>
      <c r="S9" s="44"/>
      <c r="T9" s="44"/>
      <c r="U9" s="44"/>
      <c r="V9" s="44"/>
      <c r="W9" s="44"/>
      <c r="X9" s="44"/>
      <c r="Y9" s="44"/>
      <c r="Z9" s="44"/>
    </row>
    <row r="10" spans="1:26" ht="50.25" customHeight="1">
      <c r="A10" s="7" t="s">
        <v>24</v>
      </c>
      <c r="B10" s="8" t="s">
        <v>159</v>
      </c>
      <c r="C10" s="8" t="s">
        <v>160</v>
      </c>
      <c r="D10" s="8" t="str">
        <f t="shared" si="0"/>
        <v>Logitech M100 Ratón con
 Cable USB</v>
      </c>
      <c r="E10" s="11" t="s">
        <v>161</v>
      </c>
      <c r="F10" s="34">
        <v>0</v>
      </c>
      <c r="G10" s="11" t="s">
        <v>162</v>
      </c>
      <c r="H10" s="10" t="s">
        <v>163</v>
      </c>
      <c r="I10" s="8" t="s">
        <v>17</v>
      </c>
      <c r="J10" s="8" t="str">
        <f t="shared" si="1"/>
        <v xml:space="preserve">3 Botones, Seguimiento Óptimo 1000 DPI, Ambidestro, Compatible con PC, Mac, Portátil 
</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A6" workbookViewId="0"/>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164</v>
      </c>
      <c r="C8" s="20" t="s">
        <v>165</v>
      </c>
      <c r="D8" s="9" t="s">
        <v>166</v>
      </c>
      <c r="E8" s="8">
        <v>137.38</v>
      </c>
      <c r="F8" s="10">
        <f t="shared" ref="F8:F10" si="0">E8*19%</f>
        <v>26.1022</v>
      </c>
      <c r="G8" s="11">
        <f t="shared" ref="G8:G11" si="1">F8+E8</f>
        <v>163.48220000000001</v>
      </c>
      <c r="H8" s="10">
        <f t="shared" ref="H8:H10" si="2">G8</f>
        <v>163.48220000000001</v>
      </c>
      <c r="I8" s="8" t="s">
        <v>17</v>
      </c>
      <c r="J8" s="8"/>
      <c r="K8" s="44"/>
      <c r="L8" s="44"/>
      <c r="M8" s="44"/>
      <c r="N8" s="44"/>
      <c r="O8" s="44"/>
      <c r="P8" s="44"/>
      <c r="Q8" s="44"/>
      <c r="R8" s="44"/>
      <c r="S8" s="44"/>
      <c r="T8" s="44"/>
      <c r="U8" s="44"/>
      <c r="V8" s="44"/>
      <c r="W8" s="44"/>
      <c r="X8" s="44"/>
      <c r="Y8" s="44"/>
      <c r="Z8" s="44"/>
    </row>
    <row r="9" spans="1:26" ht="50.25" customHeight="1">
      <c r="A9" s="7" t="s">
        <v>19</v>
      </c>
      <c r="B9" s="13" t="s">
        <v>167</v>
      </c>
      <c r="C9" s="20" t="s">
        <v>168</v>
      </c>
      <c r="D9" s="8" t="str">
        <f t="shared" ref="D9:D10" si="3">D8</f>
        <v>office 2021 profesional plus 1 pc</v>
      </c>
      <c r="E9" s="8">
        <v>27</v>
      </c>
      <c r="F9" s="10">
        <f t="shared" si="0"/>
        <v>5.13</v>
      </c>
      <c r="G9" s="11">
        <f t="shared" si="1"/>
        <v>32.130000000000003</v>
      </c>
      <c r="H9" s="10">
        <f t="shared" si="2"/>
        <v>32.130000000000003</v>
      </c>
      <c r="I9" s="8" t="s">
        <v>17</v>
      </c>
      <c r="J9" s="8"/>
      <c r="K9" s="44"/>
      <c r="L9" s="44"/>
      <c r="M9" s="44"/>
      <c r="N9" s="44"/>
      <c r="O9" s="44"/>
      <c r="P9" s="44"/>
      <c r="Q9" s="44"/>
      <c r="R9" s="44"/>
      <c r="S9" s="44"/>
      <c r="T9" s="44"/>
      <c r="U9" s="44"/>
      <c r="V9" s="44"/>
      <c r="W9" s="44"/>
      <c r="X9" s="44"/>
      <c r="Y9" s="44"/>
      <c r="Z9" s="44"/>
    </row>
    <row r="10" spans="1:26" ht="50.25" customHeight="1">
      <c r="A10" s="7" t="s">
        <v>24</v>
      </c>
      <c r="B10" s="8" t="s">
        <v>169</v>
      </c>
      <c r="C10" s="20" t="s">
        <v>170</v>
      </c>
      <c r="D10" s="8" t="str">
        <f t="shared" si="3"/>
        <v>office 2021 profesional plus 1 pc</v>
      </c>
      <c r="E10" s="11">
        <v>42</v>
      </c>
      <c r="F10" s="10">
        <f t="shared" si="0"/>
        <v>7.98</v>
      </c>
      <c r="G10" s="11">
        <f t="shared" si="1"/>
        <v>49.980000000000004</v>
      </c>
      <c r="H10" s="10">
        <f t="shared" si="2"/>
        <v>49.980000000000004</v>
      </c>
      <c r="I10" s="8" t="s">
        <v>17</v>
      </c>
      <c r="J10" s="8">
        <f>J9</f>
        <v>0</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1">
        <f t="shared" si="1"/>
        <v>0</v>
      </c>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11"/>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1100-000000000000}"/>
    <hyperlink ref="C9" r:id="rId2" xr:uid="{00000000-0004-0000-1100-000001000000}"/>
    <hyperlink ref="C10" r:id="rId3" xr:uid="{00000000-0004-0000-1100-000002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171</v>
      </c>
      <c r="C8" s="8" t="s">
        <v>172</v>
      </c>
      <c r="D8" s="9" t="s">
        <v>173</v>
      </c>
      <c r="E8" s="40">
        <v>299</v>
      </c>
      <c r="F8" s="10">
        <v>0</v>
      </c>
      <c r="G8" s="11">
        <f t="shared" ref="G8:G9" si="0">E8</f>
        <v>299</v>
      </c>
      <c r="H8" s="10"/>
      <c r="I8" s="8" t="s">
        <v>17</v>
      </c>
      <c r="J8" s="8"/>
      <c r="K8" s="44"/>
      <c r="L8" s="44"/>
      <c r="M8" s="44"/>
      <c r="N8" s="44"/>
      <c r="O8" s="44"/>
      <c r="P8" s="44"/>
      <c r="Q8" s="44"/>
      <c r="R8" s="44"/>
      <c r="S8" s="44"/>
      <c r="T8" s="44"/>
      <c r="U8" s="44"/>
      <c r="V8" s="44"/>
      <c r="W8" s="44"/>
      <c r="X8" s="44"/>
      <c r="Y8" s="44"/>
      <c r="Z8" s="44"/>
    </row>
    <row r="9" spans="1:26" ht="50.25" customHeight="1">
      <c r="A9" s="7" t="s">
        <v>19</v>
      </c>
      <c r="B9" s="13" t="s">
        <v>174</v>
      </c>
      <c r="C9" s="20" t="s">
        <v>175</v>
      </c>
      <c r="D9" s="8" t="str">
        <f t="shared" ref="D9:D10" si="1">D8</f>
        <v>Licencia Visual Studio 2022 Enterprise</v>
      </c>
      <c r="E9" s="40">
        <v>169</v>
      </c>
      <c r="F9" s="10">
        <v>0</v>
      </c>
      <c r="G9" s="11">
        <f t="shared" si="0"/>
        <v>169</v>
      </c>
      <c r="H9" s="10"/>
      <c r="I9" s="8" t="s">
        <v>17</v>
      </c>
      <c r="J9" s="8"/>
      <c r="K9" s="44"/>
      <c r="L9" s="44"/>
      <c r="M9" s="44"/>
      <c r="N9" s="44"/>
      <c r="O9" s="44"/>
      <c r="P9" s="44"/>
      <c r="Q9" s="44"/>
      <c r="R9" s="44"/>
      <c r="S9" s="44"/>
      <c r="T9" s="44"/>
      <c r="U9" s="44"/>
      <c r="V9" s="44"/>
      <c r="W9" s="44"/>
      <c r="X9" s="44"/>
      <c r="Y9" s="44"/>
      <c r="Z9" s="44"/>
    </row>
    <row r="10" spans="1:26" ht="50.25" customHeight="1">
      <c r="A10" s="7" t="s">
        <v>24</v>
      </c>
      <c r="B10" s="8" t="s">
        <v>176</v>
      </c>
      <c r="C10" s="63" t="s">
        <v>177</v>
      </c>
      <c r="D10" s="8" t="str">
        <f t="shared" si="1"/>
        <v>Licencia Visual Studio 2022 Enterprise</v>
      </c>
      <c r="E10" s="41">
        <v>139.9</v>
      </c>
      <c r="F10" s="10">
        <v>139.9</v>
      </c>
      <c r="G10" s="11">
        <f>F10</f>
        <v>139.9</v>
      </c>
      <c r="H10" s="10"/>
      <c r="I10" s="8" t="s">
        <v>17</v>
      </c>
      <c r="J10" s="8">
        <f>J9</f>
        <v>0</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00000000-0004-0000-12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178</v>
      </c>
      <c r="C8" s="42">
        <v>3232540225</v>
      </c>
      <c r="D8" s="9" t="s">
        <v>179</v>
      </c>
      <c r="E8" s="8">
        <v>787426</v>
      </c>
      <c r="F8" s="10">
        <f t="shared" ref="F8:H8" si="0">E8</f>
        <v>787426</v>
      </c>
      <c r="G8" s="11">
        <f t="shared" si="0"/>
        <v>787426</v>
      </c>
      <c r="H8" s="10">
        <f t="shared" si="0"/>
        <v>787426</v>
      </c>
      <c r="I8" s="8" t="s">
        <v>17</v>
      </c>
      <c r="J8" s="8"/>
      <c r="K8" s="44"/>
      <c r="L8" s="44"/>
      <c r="M8" s="44"/>
      <c r="N8" s="44"/>
      <c r="O8" s="44"/>
      <c r="P8" s="44"/>
      <c r="Q8" s="44"/>
      <c r="R8" s="44"/>
      <c r="S8" s="44"/>
      <c r="T8" s="44"/>
      <c r="U8" s="44"/>
      <c r="V8" s="44"/>
      <c r="W8" s="44"/>
      <c r="X8" s="44"/>
      <c r="Y8" s="44"/>
      <c r="Z8" s="44"/>
    </row>
    <row r="9" spans="1:26" ht="50.25" customHeight="1">
      <c r="A9" s="7" t="s">
        <v>19</v>
      </c>
      <c r="B9" s="13" t="s">
        <v>180</v>
      </c>
      <c r="C9" s="20" t="s">
        <v>181</v>
      </c>
      <c r="D9" s="8" t="str">
        <f t="shared" ref="D9:D10" si="1">D8</f>
        <v xml:space="preserve">Licencia Windows 11 Pro ESD Vitalicia
</v>
      </c>
      <c r="E9" s="8">
        <v>43000</v>
      </c>
      <c r="F9" s="10">
        <f t="shared" ref="F9:F10" si="2">E9*19%</f>
        <v>8170</v>
      </c>
      <c r="G9" s="11">
        <f t="shared" ref="G9:G10" si="3">E9+F9</f>
        <v>51170</v>
      </c>
      <c r="H9" s="10">
        <f t="shared" ref="H9:H10" si="4">G9</f>
        <v>51170</v>
      </c>
      <c r="I9" s="8" t="s">
        <v>17</v>
      </c>
      <c r="J9" s="8"/>
      <c r="K9" s="44"/>
      <c r="L9" s="44"/>
      <c r="M9" s="44"/>
      <c r="N9" s="44"/>
      <c r="O9" s="44"/>
      <c r="P9" s="44"/>
      <c r="Q9" s="44"/>
      <c r="R9" s="44"/>
      <c r="S9" s="44"/>
      <c r="T9" s="44"/>
      <c r="U9" s="44"/>
      <c r="V9" s="44"/>
      <c r="W9" s="44"/>
      <c r="X9" s="44"/>
      <c r="Y9" s="44"/>
      <c r="Z9" s="44"/>
    </row>
    <row r="10" spans="1:26" ht="50.25" customHeight="1">
      <c r="A10" s="7" t="s">
        <v>24</v>
      </c>
      <c r="B10" s="8" t="s">
        <v>182</v>
      </c>
      <c r="C10" s="8" t="s">
        <v>183</v>
      </c>
      <c r="D10" s="8" t="str">
        <f t="shared" si="1"/>
        <v xml:space="preserve">Licencia Windows 11 Pro ESD Vitalicia
</v>
      </c>
      <c r="E10" s="11">
        <v>42990</v>
      </c>
      <c r="F10" s="10">
        <f t="shared" si="2"/>
        <v>8168.1</v>
      </c>
      <c r="G10" s="11">
        <f t="shared" si="3"/>
        <v>51158.1</v>
      </c>
      <c r="H10" s="10">
        <f t="shared" si="4"/>
        <v>51158.1</v>
      </c>
      <c r="I10" s="8" t="s">
        <v>17</v>
      </c>
      <c r="J10" s="8">
        <f>J9</f>
        <v>0</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c r="B1" s="44"/>
      <c r="C1" s="44"/>
      <c r="D1" s="44"/>
      <c r="E1" s="44"/>
      <c r="F1" s="44"/>
      <c r="G1" s="44"/>
      <c r="H1" s="44"/>
      <c r="I1" s="44"/>
      <c r="J1" s="44"/>
      <c r="K1" s="44"/>
      <c r="L1" s="44"/>
      <c r="M1" s="44"/>
      <c r="N1" s="44"/>
      <c r="O1" s="44"/>
      <c r="P1" s="44"/>
      <c r="Q1" s="44"/>
      <c r="R1" s="44"/>
      <c r="S1" s="44"/>
      <c r="T1" s="44"/>
      <c r="U1" s="44"/>
      <c r="V1" s="44"/>
      <c r="W1" s="44"/>
      <c r="X1" s="44"/>
      <c r="Y1" s="44"/>
      <c r="Z1" s="44"/>
    </row>
    <row r="2" spans="1:26" ht="27.75" customHeight="1">
      <c r="A2" s="44"/>
      <c r="B2" s="44"/>
      <c r="C2" s="44"/>
      <c r="D2" s="90" t="s">
        <v>0</v>
      </c>
      <c r="E2" s="91"/>
      <c r="F2" s="91"/>
      <c r="G2" s="91"/>
      <c r="H2" s="91"/>
      <c r="I2" s="44"/>
      <c r="J2" s="44"/>
      <c r="K2" s="44"/>
      <c r="L2" s="44"/>
      <c r="M2" s="44"/>
      <c r="N2" s="44"/>
      <c r="O2" s="44"/>
      <c r="P2" s="44"/>
      <c r="Q2" s="44"/>
      <c r="R2" s="44"/>
      <c r="S2" s="44"/>
      <c r="T2" s="44"/>
      <c r="U2" s="44"/>
      <c r="V2" s="44"/>
      <c r="W2" s="44"/>
      <c r="X2" s="44"/>
      <c r="Y2" s="44"/>
      <c r="Z2" s="44"/>
    </row>
    <row r="3" spans="1:26" ht="12.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2.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43.5" customHeight="1">
      <c r="A5" s="92" t="s">
        <v>1</v>
      </c>
      <c r="B5" s="93"/>
      <c r="C5" s="93"/>
      <c r="D5" s="93"/>
      <c r="E5" s="93"/>
      <c r="F5" s="93"/>
      <c r="G5" s="93"/>
      <c r="H5" s="93"/>
      <c r="I5" s="93"/>
      <c r="J5" s="94"/>
      <c r="K5" s="44"/>
      <c r="L5" s="44"/>
      <c r="M5" s="44"/>
      <c r="N5" s="44"/>
      <c r="O5" s="44"/>
      <c r="P5" s="44"/>
      <c r="Q5" s="44"/>
      <c r="R5" s="44"/>
      <c r="S5" s="44"/>
      <c r="T5" s="44"/>
      <c r="U5" s="44"/>
      <c r="V5" s="44"/>
      <c r="W5" s="44"/>
      <c r="X5" s="44"/>
      <c r="Y5" s="44"/>
      <c r="Z5" s="44"/>
    </row>
    <row r="6" spans="1:2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8" t="s">
        <v>184</v>
      </c>
      <c r="C8" s="43">
        <v>3232540225</v>
      </c>
      <c r="D8" s="9" t="s">
        <v>185</v>
      </c>
      <c r="E8" s="8">
        <v>265131</v>
      </c>
      <c r="F8" s="10">
        <f t="shared" ref="F8:H8" si="0">E8</f>
        <v>265131</v>
      </c>
      <c r="G8" s="11">
        <f t="shared" si="0"/>
        <v>265131</v>
      </c>
      <c r="H8" s="10">
        <f t="shared" si="0"/>
        <v>265131</v>
      </c>
      <c r="I8" s="8" t="s">
        <v>17</v>
      </c>
      <c r="J8" s="8"/>
      <c r="K8" s="44"/>
      <c r="L8" s="44"/>
      <c r="M8" s="44"/>
      <c r="N8" s="44"/>
      <c r="O8" s="44"/>
      <c r="P8" s="44"/>
      <c r="Q8" s="44"/>
      <c r="R8" s="44"/>
      <c r="S8" s="44"/>
      <c r="T8" s="44"/>
      <c r="U8" s="44"/>
      <c r="V8" s="44"/>
      <c r="W8" s="44"/>
      <c r="X8" s="44"/>
      <c r="Y8" s="44"/>
      <c r="Z8" s="44"/>
    </row>
    <row r="9" spans="1:26" ht="50.25" customHeight="1">
      <c r="A9" s="7" t="s">
        <v>19</v>
      </c>
      <c r="B9" s="13" t="s">
        <v>186</v>
      </c>
      <c r="C9" s="59">
        <v>3003227936</v>
      </c>
      <c r="D9" s="8" t="str">
        <f t="shared" ref="D9:D10" si="1">D8</f>
        <v>Licencia de dispositivo SQL Server 2022 - 1 CAL</v>
      </c>
      <c r="E9" s="11">
        <v>1293600</v>
      </c>
      <c r="F9" s="10">
        <f>E9*19%</f>
        <v>245784</v>
      </c>
      <c r="G9" s="11">
        <f t="shared" ref="G9:H9" si="2">F9</f>
        <v>245784</v>
      </c>
      <c r="H9" s="10">
        <f t="shared" si="2"/>
        <v>245784</v>
      </c>
      <c r="I9" s="8" t="s">
        <v>17</v>
      </c>
      <c r="J9" s="8"/>
      <c r="K9" s="44"/>
      <c r="L9" s="44"/>
      <c r="M9" s="44"/>
      <c r="N9" s="44"/>
      <c r="O9" s="44"/>
      <c r="P9" s="44"/>
      <c r="Q9" s="44"/>
      <c r="R9" s="44"/>
      <c r="S9" s="44"/>
      <c r="T9" s="44"/>
      <c r="U9" s="44"/>
      <c r="V9" s="44"/>
      <c r="W9" s="44"/>
      <c r="X9" s="44"/>
      <c r="Y9" s="44"/>
      <c r="Z9" s="44"/>
    </row>
    <row r="10" spans="1:26" ht="50.25" customHeight="1">
      <c r="A10" s="7" t="s">
        <v>24</v>
      </c>
      <c r="B10" s="8" t="s">
        <v>187</v>
      </c>
      <c r="C10" s="8" t="s">
        <v>188</v>
      </c>
      <c r="D10" s="8" t="str">
        <f t="shared" si="1"/>
        <v>Licencia de dispositivo SQL Server 2022 - 1 CAL</v>
      </c>
      <c r="E10" s="11">
        <v>145.9</v>
      </c>
      <c r="F10" s="10">
        <f t="shared" ref="F10:G10" si="3">E10</f>
        <v>145.9</v>
      </c>
      <c r="G10" s="16">
        <f t="shared" si="3"/>
        <v>145.9</v>
      </c>
      <c r="H10" s="10"/>
      <c r="I10" s="8" t="s">
        <v>17</v>
      </c>
      <c r="J10" s="8">
        <f>J9</f>
        <v>0</v>
      </c>
      <c r="K10" s="44"/>
      <c r="L10" s="44"/>
      <c r="M10" s="44"/>
      <c r="N10" s="44"/>
      <c r="O10" s="44"/>
      <c r="P10" s="44"/>
      <c r="Q10" s="44"/>
      <c r="R10" s="44"/>
      <c r="S10" s="44"/>
      <c r="T10" s="44"/>
      <c r="U10" s="44"/>
      <c r="V10" s="44"/>
      <c r="W10" s="44"/>
      <c r="X10" s="44"/>
      <c r="Y10" s="44"/>
      <c r="Z10" s="44"/>
    </row>
    <row r="11" spans="1:26" ht="15" hidden="1" customHeight="1">
      <c r="A11" s="17"/>
      <c r="B11" s="18"/>
      <c r="C11" s="18"/>
      <c r="D11" s="18"/>
      <c r="E11" s="18"/>
      <c r="F11" s="18"/>
      <c r="G11" s="18"/>
      <c r="H11" s="18"/>
      <c r="I11" s="18"/>
      <c r="J11" s="18"/>
      <c r="K11" s="44"/>
      <c r="L11" s="44"/>
      <c r="M11" s="44"/>
      <c r="N11" s="44"/>
      <c r="O11" s="44"/>
      <c r="P11" s="44"/>
      <c r="Q11" s="44"/>
      <c r="R11" s="44"/>
      <c r="S11" s="44"/>
      <c r="T11" s="44"/>
      <c r="U11" s="44"/>
      <c r="V11" s="44"/>
      <c r="W11" s="44"/>
      <c r="X11" s="44"/>
      <c r="Y11" s="44"/>
      <c r="Z11" s="44"/>
    </row>
    <row r="12" spans="1:26" ht="12.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38.75" customHeight="1">
      <c r="A13" s="95" t="s">
        <v>29</v>
      </c>
      <c r="B13" s="93"/>
      <c r="C13" s="93"/>
      <c r="D13" s="93"/>
      <c r="E13" s="93"/>
      <c r="F13" s="93"/>
      <c r="G13" s="93"/>
      <c r="H13" s="93"/>
      <c r="I13" s="93"/>
      <c r="J13" s="94"/>
      <c r="K13" s="44"/>
      <c r="L13" s="44"/>
      <c r="M13" s="44"/>
      <c r="N13" s="44"/>
      <c r="O13" s="44"/>
      <c r="P13" s="44"/>
      <c r="Q13" s="44"/>
      <c r="R13" s="44"/>
      <c r="S13" s="44"/>
      <c r="T13" s="44"/>
      <c r="U13" s="44"/>
      <c r="V13" s="44"/>
      <c r="W13" s="44"/>
      <c r="X13" s="44"/>
      <c r="Y13" s="44"/>
      <c r="Z13" s="44"/>
    </row>
    <row r="14" spans="1:26" ht="12.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75" customHeight="1">
      <c r="A15" s="95" t="s">
        <v>30</v>
      </c>
      <c r="B15" s="93"/>
      <c r="C15" s="93"/>
      <c r="D15" s="93"/>
      <c r="E15" s="93"/>
      <c r="F15" s="93"/>
      <c r="G15" s="93"/>
      <c r="H15" s="93"/>
      <c r="I15" s="93"/>
      <c r="J15" s="94"/>
      <c r="K15" s="44"/>
      <c r="L15" s="44"/>
      <c r="M15" s="44"/>
      <c r="N15" s="44"/>
      <c r="O15" s="44"/>
      <c r="P15" s="44"/>
      <c r="Q15" s="44"/>
      <c r="R15" s="44"/>
      <c r="S15" s="44"/>
      <c r="T15" s="44"/>
      <c r="U15" s="44"/>
      <c r="V15" s="44"/>
      <c r="W15" s="44"/>
      <c r="X15" s="44"/>
      <c r="Y15" s="44"/>
      <c r="Z15" s="44"/>
    </row>
    <row r="16" spans="1:26" ht="12.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4:7" ht="12.75" customHeight="1">
      <c r="D17" s="44"/>
      <c r="E17" s="44"/>
      <c r="F17" s="44"/>
      <c r="G17" s="44"/>
    </row>
    <row r="18" spans="4:7" ht="12.75" customHeight="1">
      <c r="D18" s="44"/>
      <c r="E18" s="44"/>
      <c r="F18" s="44"/>
      <c r="G18" s="44"/>
    </row>
    <row r="19" spans="4:7" ht="12.75" customHeight="1">
      <c r="D19" s="44"/>
      <c r="E19" s="44"/>
      <c r="F19" s="44"/>
      <c r="G19" s="44"/>
    </row>
    <row r="20" spans="4:7" ht="12.75" customHeight="1">
      <c r="D20" s="44"/>
      <c r="E20" s="44"/>
      <c r="F20" s="44"/>
      <c r="G20" s="44"/>
    </row>
    <row r="21" spans="4:7" ht="12.75" customHeight="1">
      <c r="D21" s="44"/>
      <c r="E21" s="44"/>
      <c r="F21" s="44"/>
      <c r="G21" s="44"/>
    </row>
    <row r="22" spans="4:7" ht="12.75" customHeight="1">
      <c r="D22" s="44"/>
      <c r="E22" s="44"/>
      <c r="F22" s="44"/>
      <c r="G22" s="44"/>
    </row>
    <row r="23" spans="4:7" ht="12.75" customHeight="1">
      <c r="D23" s="44"/>
      <c r="E23" s="44"/>
      <c r="F23" s="44"/>
      <c r="G23" s="44"/>
    </row>
    <row r="24" spans="4:7" ht="12.75" customHeight="1">
      <c r="D24" s="44"/>
      <c r="E24" s="44"/>
      <c r="F24" s="44"/>
      <c r="G24" s="44"/>
    </row>
    <row r="25" spans="4:7" ht="12.75" customHeight="1">
      <c r="D25" s="44"/>
      <c r="E25" s="44"/>
      <c r="F25" s="44"/>
      <c r="G25" s="44"/>
    </row>
    <row r="26" spans="4:7" ht="12.75" customHeight="1">
      <c r="D26" s="19"/>
      <c r="E26" s="19"/>
      <c r="F26" s="1"/>
      <c r="G26" s="1"/>
    </row>
    <row r="27" spans="4:7" ht="12.75" customHeight="1">
      <c r="D27" s="44"/>
      <c r="E27" s="44"/>
      <c r="F27" s="44"/>
      <c r="G27" s="44"/>
    </row>
    <row r="28" spans="4:7" ht="12.75" customHeight="1">
      <c r="D28" s="44"/>
      <c r="E28" s="44"/>
      <c r="F28" s="44"/>
      <c r="G28" s="44"/>
    </row>
    <row r="29" spans="4:7" ht="12.75" customHeight="1">
      <c r="D29" s="44"/>
      <c r="E29" s="44"/>
      <c r="F29" s="44"/>
      <c r="G29" s="44"/>
    </row>
    <row r="30" spans="4:7" ht="12.75" customHeight="1">
      <c r="D30" s="44"/>
      <c r="E30" s="44"/>
      <c r="F30" s="44"/>
      <c r="G30" s="44"/>
    </row>
    <row r="31" spans="4:7" ht="12.75" customHeight="1">
      <c r="D31" s="44"/>
      <c r="E31" s="44"/>
      <c r="F31" s="44"/>
      <c r="G31" s="44"/>
    </row>
    <row r="32" spans="4:7" ht="12.75" customHeight="1">
      <c r="D32" s="44"/>
      <c r="E32" s="44"/>
      <c r="F32" s="44"/>
      <c r="G32" s="4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Usuario invitado</cp:lastModifiedBy>
  <cp:revision/>
  <dcterms:created xsi:type="dcterms:W3CDTF">2010-11-08T17:12:41Z</dcterms:created>
  <dcterms:modified xsi:type="dcterms:W3CDTF">2025-08-12T01:33:54Z</dcterms:modified>
  <cp:category/>
  <cp:contentStatus/>
</cp:coreProperties>
</file>